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AES-AircraftDesignToolbox/MAIN/Input Excel Sheets/Design Configurations/"/>
    </mc:Choice>
  </mc:AlternateContent>
  <xr:revisionPtr revIDLastSave="161" documentId="13_ncr:1_{AF967D3A-6581-5D40-BFFA-E1DDAEB3102C}" xr6:coauthVersionLast="47" xr6:coauthVersionMax="47" xr10:uidLastSave="{D9F9E072-621A-4C58-89BC-A36DD0ED9E66}"/>
  <bookViews>
    <workbookView minimized="1" xWindow="-23625" yWindow="825" windowWidth="16515" windowHeight="9885" activeTab="3"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3" l="1"/>
  <c r="Q3" i="13"/>
  <c r="A4" i="5"/>
  <c r="A4" i="13"/>
  <c r="I4" i="13"/>
  <c r="AP3" i="4"/>
  <c r="AQ3" i="4" s="1"/>
  <c r="AI3" i="4"/>
  <c r="AJ3" i="4" s="1"/>
  <c r="Z3" i="4"/>
  <c r="U3" i="4"/>
  <c r="N3" i="4"/>
  <c r="O3" i="4" s="1"/>
  <c r="V3" i="4"/>
  <c r="F3" i="4"/>
  <c r="F4" i="4"/>
  <c r="AU4" i="4"/>
  <c r="AT4" i="4"/>
  <c r="AS4" i="4"/>
  <c r="AR4" i="4"/>
  <c r="AQ4" i="4"/>
  <c r="AN4" i="4"/>
  <c r="AM4" i="4"/>
  <c r="AL4" i="4"/>
  <c r="AK4" i="4"/>
  <c r="AJ4" i="4"/>
  <c r="V4" i="4"/>
  <c r="P4" i="4"/>
  <c r="O4" i="4"/>
  <c r="K4" i="4"/>
  <c r="I4" i="4"/>
  <c r="H4" i="4"/>
  <c r="G4" i="4"/>
  <c r="I3" i="13" l="1"/>
  <c r="J3" i="4" l="1"/>
  <c r="I3" i="4"/>
  <c r="G3" i="4"/>
  <c r="H3" i="4"/>
  <c r="K3" i="4" s="1"/>
  <c r="A3" i="13"/>
  <c r="H2" i="4"/>
  <c r="B72" i="15" a="1"/>
  <c r="B72" i="15" s="1"/>
  <c r="B2" i="15" a="1"/>
  <c r="B2" i="15" s="1"/>
  <c r="A2" i="13" l="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<sst xmlns="http://schemas.openxmlformats.org/spreadsheetml/2006/main" count="434" uniqueCount="248">
  <si>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</si>
  <si>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</si>
  <si>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</si>
  <si>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</si>
  <si>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</si>
  <si>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</si>
  <si>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</si>
  <si>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</si>
  <si>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</si>
  <si>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</si>
  <si>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</si>
  <si>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</si>
  <si>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</si>
  <si>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</si>
  <si>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</si>
  <si>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</si>
  <si>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</si>
  <si>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</si>
  <si>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</si>
  <si>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</si>
  <si>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</si>
  <si>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</si>
  <si>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</si>
  <si>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</si>
  <si>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</si>
  <si>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</si>
  <si>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</si>
  <si>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</si>
  <si>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</si>
  <si>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</si>
  <si>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</si>
  <si>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</si>
  <si>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</si>
  <si>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</si>
  <si>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</si>
  <si>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</si>
  <si>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</si>
  <si>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</si>
  <si>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</si>
  <si>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</si>
  <si>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</si>
  <si>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</si>
  <si>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</si>
  <si>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</si>
  <si>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</si>
  <si>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</si>
  <si>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</si>
  <si>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</si>
  <si>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</si>
  <si>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</si>
  <si>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</si>
  <si>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</si>
  <si>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</si>
  <si>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</si>
  <si>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</si>
  <si>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</si>
  <si>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</si>
  <si>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</si>
  <si>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</si>
  <si>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</si>
  <si>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</si>
  <si>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</si>
  <si>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</si>
  <si>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</si>
  <si>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</si>
  <si>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</si>
  <si>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</si>
  <si>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</si>
  <si>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</si>
  <si>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</si>
  <si>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</si>
  <si>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</si>
  <si>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</si>
  <si>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</si>
  <si>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</si>
  <si>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</si>
  <si>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</si>
  <si>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</si>
  <si>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</si>
  <si>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</si>
  <si>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</si>
  <si>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</si>
  <si>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</si>
  <si>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</si>
  <si>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</si>
  <si>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</si>
  <si>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</si>
  <si>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</si>
  <si>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</si>
  <si>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</si>
  <si>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</si>
  <si>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</si>
  <si>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</si>
  <si>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</si>
  <si>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</si>
  <si>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</si>
  <si>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</si>
  <si>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</si>
  <si>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</si>
  <si>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</si>
  <si>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</si>
  <si>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</si>
  <si>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</si>
  <si>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</si>
  <si>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</si>
  <si>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</si>
  <si>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</si>
  <si>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</si>
  <si>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</si>
  <si>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</si>
  <si>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</si>
  <si>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</si>
  <si>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</si>
  <si>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</si>
  <si>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</si>
  <si>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</si>
  <si>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</si>
  <si>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</si>
  <si>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</si>
  <si>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</si>
  <si>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</si>
  <si>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</si>
  <si>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</si>
  <si>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</si>
  <si>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</si>
  <si>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</si>
  <si>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</si>
  <si>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</si>
  <si>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</si>
  <si>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</si>
  <si>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</si>
  <si>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</si>
  <si>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</si>
  <si>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</si>
  <si>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</si>
  <si>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</si>
  <si>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</si>
  <si>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</si>
  <si>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</si>
  <si>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</si>
  <si>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</si>
  <si>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</si>
  <si>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</si>
  <si>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</si>
  <si>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</si>
  <si>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</si>
  <si>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</si>
  <si>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</si>
  <si>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</si>
  <si>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</si>
  <si>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</si>
  <si>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</si>
  <si>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</si>
  <si>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</si>
  <si>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</si>
  <si>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</si>
  <si>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</si>
  <si>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</si>
  <si>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</si>
  <si>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</si>
  <si>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</si>
  <si>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</si>
  <si>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</si>
  <si>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</si>
  <si>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</si>
  <si>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</si>
  <si>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</si>
  <si>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</si>
  <si>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</si>
  <si>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</si>
  <si>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</si>
  <si>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</si>
  <si>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</si>
  <si>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</si>
  <si>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</si>
  <si>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</si>
  <si>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</si>
  <si>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</si>
  <si>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</si>
  <si>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</si>
  <si>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</si>
  <si>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</si>
  <si>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</si>
  <si>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</si>
  <si>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</si>
  <si>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</si>
  <si>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</si>
  <si>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</si>
  <si>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</si>
  <si>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</si>
  <si>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</si>
  <si>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</si>
  <si>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</si>
  <si>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</si>
  <si>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</si>
  <si>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</si>
  <si>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</si>
  <si>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</si>
  <si>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</si>
  <si>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</si>
  <si>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</si>
  <si>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</si>
  <si>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</si>
  <si>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</si>
  <si>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</si>
  <si>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</si>
  <si>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</si>
  <si>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</si>
  <si>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</si>
  <si>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</si>
  <si>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</si>
  <si>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</si>
  <si>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</si>
  <si>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</si>
  <si>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</si>
  <si>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</si>
  <si>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</si>
  <si>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</si>
  <si>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</si>
  <si>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</si>
  <si>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</si>
  <si>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</si>
  <si>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</si>
  <si>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</si>
  <si>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</si>
  <si>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</si>
  <si>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</si>
  <si>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</si>
  <si>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</si>
  <si>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</si>
  <si>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</si>
  <si>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</si>
  <si>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</si>
  <si>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</si>
  <si>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</si>
  <si>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</si>
  <si>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</si>
  <si>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all stats -&gt; after are for per engine</t>
  </si>
  <si>
    <t>Prop -&gt; jet = 0</t>
  </si>
  <si>
    <t>Turbocharge is from sea level to 8,000 ft</t>
  </si>
  <si>
    <t>Electric -&gt; jet = 0</t>
  </si>
  <si>
    <t>Kowalski</t>
  </si>
  <si>
    <t>Push/Pull</t>
  </si>
  <si>
    <t>NACA4412</t>
  </si>
  <si>
    <t xml:space="preserve">preliminary max-power rating </t>
  </si>
  <si>
    <t>ASUMPTIONS with the 0.9</t>
  </si>
  <si>
    <t>Kolwaski</t>
  </si>
  <si>
    <t>NACA4413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</si>
</sst>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
      <sz val="10"/>
      <color theme="1"/>
      <name val="Consolas"/>
      <family val="3"/>
    </font>
  </fonts>
  <fills count="16">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xf numFmtId="9" fontId="0" fillId="0" borderId="0" xfId="0" applyNumberFormat="1"/>
    <xf numFmtId="0" fontId="8" fillId="0" borderId="0" xfId="0" applyFont="1" applyAlignment="1">
      <alignment horizontal="left" vertical="center"/>
    </xf>
    <xf numFmtId="0" fontId="0" fillId="14" borderId="1" xfId="0" applyFill="1" applyBorder="1" applyAlignment="1">
      <alignment horizontal="center"/>
    </xf>
    <xf numFmtId="0" fontId="0" fillId="15"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63" zoomScale="125" workbookViewId="0">
      <selection activeCell="C81" sqref="C81"/>
    </sheetView>
  </sheetViews>
  <sheetFormatPr defaultColWidth="8.77734375" defaultRowHeight="14.4"/>
  <cols>
    <col min="1" max="1" width="16.109375" bestFit="1" customWidth="1"/>
    <col min="2" max="2" width="13.77734375" bestFit="1" customWidth="1"/>
    <col min="3" max="3" width="11.33203125" style="1" customWidth="1"/>
    <col min="4" max="4" width="104.4414062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207</v>
      </c>
    </row>
    <row r="4" spans="1:4" ht="28.8">
      <c r="A4" s="3" t="s">
        <v>163</v>
      </c>
      <c r="B4" s="3" t="str">
        <v>altitude_o</v>
      </c>
      <c r="C4" s="4" t="s">
        <v>172</v>
      </c>
      <c r="D4" s="5" t="s">
        <v>171</v>
      </c>
    </row>
    <row r="5" spans="1:4" ht="28.8">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8.8">
      <c r="A11" s="3" t="s">
        <v>163</v>
      </c>
      <c r="B11" s="3" t="str">
        <v>Abase_f</v>
      </c>
      <c r="C11" s="4" t="s">
        <v>173</v>
      </c>
      <c r="D11" s="5" t="s">
        <v>106</v>
      </c>
    </row>
    <row r="12" spans="1:4">
      <c r="A12" s="3" t="s">
        <v>163</v>
      </c>
      <c r="B12" s="3" t="str">
        <v>Swet_f</v>
      </c>
      <c r="C12" s="4" t="s">
        <v>173</v>
      </c>
      <c r="D12" s="5" t="s">
        <v>107</v>
      </c>
    </row>
    <row r="13" spans="1:4" ht="28.8">
      <c r="A13" s="3" t="s">
        <v>163</v>
      </c>
      <c r="B13" s="3" t="str">
        <v>Q_f</v>
      </c>
      <c r="C13" s="4" t="s">
        <v>58</v>
      </c>
      <c r="D13" s="5" t="s">
        <v>108</v>
      </c>
    </row>
    <row r="14" spans="1:4" ht="28.8">
      <c r="A14" s="3" t="s">
        <v>163</v>
      </c>
      <c r="B14" s="3" t="str">
        <v>EWD</v>
      </c>
      <c r="C14" s="4" t="s">
        <v>58</v>
      </c>
      <c r="D14" s="5" t="s">
        <v>213</v>
      </c>
    </row>
    <row r="15" spans="1:4" ht="28.8">
      <c r="A15" s="3" t="s">
        <v>163</v>
      </c>
      <c r="B15" s="3" t="str">
        <v>Sref_w</v>
      </c>
      <c r="C15" s="4" t="s">
        <v>173</v>
      </c>
      <c r="D15" s="5" t="s">
        <v>109</v>
      </c>
    </row>
    <row r="16" spans="1:4" ht="28.8">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3.2">
      <c r="A21" s="3" t="s">
        <v>163</v>
      </c>
      <c r="B21" s="3" t="str">
        <v>Q_w</v>
      </c>
      <c r="C21" s="4" t="s">
        <v>58</v>
      </c>
      <c r="D21" s="5" t="s">
        <v>116</v>
      </c>
    </row>
    <row r="22" spans="1:4" ht="28.5" customHeight="1">
      <c r="A22" s="3" t="s">
        <v>163</v>
      </c>
      <c r="B22" s="3" t="str">
        <v>Sref-h1</v>
      </c>
      <c r="C22" s="4" t="s">
        <v>173</v>
      </c>
      <c r="D22" s="5" t="s">
        <v>117</v>
      </c>
    </row>
    <row r="23" spans="1:4" ht="28.8">
      <c r="A23" s="3" t="s">
        <v>163</v>
      </c>
      <c r="B23" s="3" t="str">
        <v>Swet_h1</v>
      </c>
      <c r="C23" s="4" t="s">
        <v>173</v>
      </c>
      <c r="D23" s="5" t="s">
        <v>118</v>
      </c>
    </row>
    <row r="24" spans="1:4">
      <c r="A24" s="3" t="s">
        <v>163</v>
      </c>
      <c r="B24" s="3" t="str">
        <v>AR_h1</v>
      </c>
      <c r="C24" s="4" t="s">
        <v>58</v>
      </c>
      <c r="D24" s="5" t="s">
        <v>119</v>
      </c>
    </row>
    <row r="25" spans="1:4" ht="28.8">
      <c r="A25" s="3" t="s">
        <v>163</v>
      </c>
      <c r="B25" s="3" t="str">
        <v>Taper_h1</v>
      </c>
      <c r="C25" s="4" t="s">
        <v>58</v>
      </c>
      <c r="D25" s="5" t="s">
        <v>121</v>
      </c>
    </row>
    <row r="26" spans="1:4">
      <c r="A26" s="3" t="s">
        <v>163</v>
      </c>
      <c r="B26" s="3" t="str">
        <v>Sweep_h1</v>
      </c>
      <c r="C26" s="4" t="s">
        <v>113</v>
      </c>
      <c r="D26" s="5" t="s">
        <v>123</v>
      </c>
    </row>
    <row r="27" spans="1:4" ht="28.8">
      <c r="A27" s="3" t="s">
        <v>163</v>
      </c>
      <c r="B27" s="3" t="str">
        <v>MAC_h1</v>
      </c>
      <c r="C27" s="4" t="s">
        <v>172</v>
      </c>
      <c r="D27" s="5" t="s">
        <v>124</v>
      </c>
    </row>
    <row r="28" spans="1:4" ht="43.2">
      <c r="A28" s="3" t="s">
        <v>163</v>
      </c>
      <c r="B28" s="3" t="str">
        <v>Q_h1</v>
      </c>
      <c r="C28" s="4" t="s">
        <v>58</v>
      </c>
      <c r="D28" s="5" t="s">
        <v>125</v>
      </c>
    </row>
    <row r="29" spans="1:4" ht="28.8">
      <c r="A29" s="3" t="s">
        <v>163</v>
      </c>
      <c r="B29" s="3" t="str">
        <v>Sref-h2</v>
      </c>
      <c r="C29" s="4" t="s">
        <v>173</v>
      </c>
      <c r="D29" s="5" t="s">
        <v>117</v>
      </c>
    </row>
    <row r="30" spans="1:4" ht="28.8">
      <c r="A30" s="3" t="s">
        <v>163</v>
      </c>
      <c r="B30" s="3" t="str">
        <v>Swet_h2</v>
      </c>
      <c r="C30" s="4" t="s">
        <v>173</v>
      </c>
      <c r="D30" s="5" t="s">
        <v>118</v>
      </c>
    </row>
    <row r="31" spans="1:4">
      <c r="A31" s="3" t="s">
        <v>163</v>
      </c>
      <c r="B31" s="3" t="str">
        <v>AR_h2</v>
      </c>
      <c r="C31" s="4" t="s">
        <v>58</v>
      </c>
      <c r="D31" s="5" t="s">
        <v>120</v>
      </c>
    </row>
    <row r="32" spans="1:4" ht="28.8">
      <c r="A32" s="3" t="s">
        <v>163</v>
      </c>
      <c r="B32" s="3" t="str">
        <v>Taper_h2</v>
      </c>
      <c r="C32" s="4" t="s">
        <v>58</v>
      </c>
      <c r="D32" s="5" t="s">
        <v>122</v>
      </c>
    </row>
    <row r="33" spans="1:4">
      <c r="A33" s="3" t="s">
        <v>163</v>
      </c>
      <c r="B33" s="3" t="str">
        <v>Sweep_h2</v>
      </c>
      <c r="C33" s="4" t="s">
        <v>113</v>
      </c>
      <c r="D33" s="5" t="s">
        <v>126</v>
      </c>
    </row>
    <row r="34" spans="1:4" ht="28.8">
      <c r="A34" s="3" t="s">
        <v>163</v>
      </c>
      <c r="B34" s="3" t="str">
        <v>MAC_h2</v>
      </c>
      <c r="C34" s="4" t="s">
        <v>172</v>
      </c>
      <c r="D34" s="5" t="s">
        <v>127</v>
      </c>
    </row>
    <row r="35" spans="1:4" ht="43.2">
      <c r="A35" s="3" t="s">
        <v>163</v>
      </c>
      <c r="B35" s="3" t="str">
        <v>Q_h2</v>
      </c>
      <c r="C35" s="4" t="s">
        <v>58</v>
      </c>
      <c r="D35" s="5" t="s">
        <v>128</v>
      </c>
    </row>
    <row r="36" spans="1:4" ht="28.8">
      <c r="A36" s="3" t="s">
        <v>163</v>
      </c>
      <c r="B36" s="3" t="str">
        <v>Sref-v1</v>
      </c>
      <c r="C36" s="4" t="s">
        <v>173</v>
      </c>
      <c r="D36" s="5" t="s">
        <v>134</v>
      </c>
    </row>
    <row r="37" spans="1:4" ht="28.8">
      <c r="A37" s="3" t="s">
        <v>163</v>
      </c>
      <c r="B37" s="3" t="str">
        <v>Swet_v1</v>
      </c>
      <c r="C37" s="4" t="s">
        <v>173</v>
      </c>
      <c r="D37" s="5" t="s">
        <v>129</v>
      </c>
    </row>
    <row r="38" spans="1:4">
      <c r="A38" s="3" t="s">
        <v>163</v>
      </c>
      <c r="B38" s="3" t="str">
        <v>AR_v1</v>
      </c>
      <c r="C38" s="4" t="s">
        <v>58</v>
      </c>
      <c r="D38" s="5" t="s">
        <v>130</v>
      </c>
    </row>
    <row r="39" spans="1:4" ht="28.8">
      <c r="A39" s="3" t="s">
        <v>163</v>
      </c>
      <c r="B39" s="3" t="str">
        <v>Taper_v1</v>
      </c>
      <c r="C39" s="4" t="s">
        <v>58</v>
      </c>
      <c r="D39" s="5" t="s">
        <v>131</v>
      </c>
    </row>
    <row r="40" spans="1:4">
      <c r="A40" s="3" t="s">
        <v>163</v>
      </c>
      <c r="B40" s="3" t="str">
        <v>Sweep_v1</v>
      </c>
      <c r="C40" s="4" t="s">
        <v>113</v>
      </c>
      <c r="D40" s="5" t="s">
        <v>132</v>
      </c>
    </row>
    <row r="41" spans="1:4" ht="28.8">
      <c r="A41" s="3" t="s">
        <v>163</v>
      </c>
      <c r="B41" s="3" t="str">
        <v>MAC_v1</v>
      </c>
      <c r="C41" s="4" t="s">
        <v>172</v>
      </c>
      <c r="D41" s="5" t="s">
        <v>133</v>
      </c>
    </row>
    <row r="42" spans="1:4" ht="43.2">
      <c r="A42" s="3" t="s">
        <v>163</v>
      </c>
      <c r="B42" s="3" t="str">
        <v>Q_v1</v>
      </c>
      <c r="C42" s="4" t="s">
        <v>58</v>
      </c>
      <c r="D42" s="5" t="s">
        <v>135</v>
      </c>
    </row>
    <row r="43" spans="1:4" ht="28.8">
      <c r="A43" s="3" t="s">
        <v>163</v>
      </c>
      <c r="B43" s="3" t="str">
        <v>Sref-v2</v>
      </c>
      <c r="C43" s="4" t="s">
        <v>173</v>
      </c>
      <c r="D43" s="5" t="s">
        <v>136</v>
      </c>
    </row>
    <row r="44" spans="1:4" ht="28.8">
      <c r="A44" s="3" t="s">
        <v>163</v>
      </c>
      <c r="B44" s="3" t="str">
        <v>Swet_v2</v>
      </c>
      <c r="C44" s="4" t="s">
        <v>173</v>
      </c>
      <c r="D44" s="5" t="s">
        <v>137</v>
      </c>
    </row>
    <row r="45" spans="1:4">
      <c r="A45" s="3" t="s">
        <v>163</v>
      </c>
      <c r="B45" s="3" t="str">
        <v>AR_v2</v>
      </c>
      <c r="C45" s="4" t="s">
        <v>58</v>
      </c>
      <c r="D45" s="5" t="s">
        <v>138</v>
      </c>
    </row>
    <row r="46" spans="1:4" ht="28.8">
      <c r="A46" s="3" t="s">
        <v>163</v>
      </c>
      <c r="B46" s="3" t="str">
        <v>Taper_v2</v>
      </c>
      <c r="C46" s="4" t="s">
        <v>58</v>
      </c>
      <c r="D46" s="5" t="s">
        <v>139</v>
      </c>
    </row>
    <row r="47" spans="1:4">
      <c r="A47" s="3" t="s">
        <v>163</v>
      </c>
      <c r="B47" s="3" t="str">
        <v>Sweep_v2</v>
      </c>
      <c r="C47" s="4" t="s">
        <v>113</v>
      </c>
      <c r="D47" s="5" t="s">
        <v>140</v>
      </c>
    </row>
    <row r="48" spans="1:4" ht="28.8">
      <c r="A48" s="3" t="s">
        <v>163</v>
      </c>
      <c r="B48" s="3" t="str">
        <v>MAC_v2</v>
      </c>
      <c r="C48" s="4" t="s">
        <v>172</v>
      </c>
      <c r="D48" s="5" t="s">
        <v>141</v>
      </c>
    </row>
    <row r="49" spans="1:4" ht="43.2">
      <c r="A49" s="3" t="s">
        <v>163</v>
      </c>
      <c r="B49" s="3" t="str">
        <v>Q_v2</v>
      </c>
      <c r="C49" s="4" t="s">
        <v>58</v>
      </c>
      <c r="D49" s="5" t="s">
        <v>142</v>
      </c>
    </row>
    <row r="50" spans="1:4">
      <c r="A50" s="24"/>
      <c r="B50" s="24"/>
      <c r="C50" s="25"/>
      <c r="D50" s="26"/>
    </row>
    <row r="51" spans="1:4">
      <c r="A51" s="3" t="s">
        <v>162</v>
      </c>
      <c r="B51" s="3" t="s">
        <v>44</v>
      </c>
      <c r="C51" s="4" t="s">
        <v>58</v>
      </c>
      <c r="D51" s="5" t="s">
        <v>192</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1"/>
      <c r="B71" s="21"/>
      <c r="C71" s="25"/>
      <c r="D71" s="27"/>
    </row>
    <row r="72" spans="1:4">
      <c r="A72" s="3" t="s">
        <v>191</v>
      </c>
      <c r="B72" s="3" t="str" cm="1">
        <f t="array" ref="B72:B82">TRANSPOSE([1]Propulsion!A1:K1)</f>
        <v>Config</v>
      </c>
      <c r="C72" s="4" t="s">
        <v>58</v>
      </c>
      <c r="D72" s="5" t="s">
        <v>192</v>
      </c>
    </row>
    <row r="73" spans="1:4" ht="28.8">
      <c r="A73" s="3" t="s">
        <v>191</v>
      </c>
      <c r="B73" s="3" t="str">
        <v>PropType</v>
      </c>
      <c r="C73" s="4" t="s">
        <v>58</v>
      </c>
      <c r="D73" s="5" t="s">
        <v>193</v>
      </c>
    </row>
    <row r="74" spans="1:4">
      <c r="A74" s="3" t="s">
        <v>191</v>
      </c>
      <c r="B74" s="3" t="str">
        <v>Number</v>
      </c>
      <c r="C74" s="4" t="s">
        <v>58</v>
      </c>
      <c r="D74" s="5" t="s">
        <v>198</v>
      </c>
    </row>
    <row r="75" spans="1:4">
      <c r="A75" s="3" t="s">
        <v>191</v>
      </c>
      <c r="B75" s="3" t="str">
        <v>TA_mil_sl</v>
      </c>
      <c r="C75" s="4" t="s">
        <v>194</v>
      </c>
      <c r="D75" s="5" t="s">
        <v>199</v>
      </c>
    </row>
    <row r="76" spans="1:4">
      <c r="A76" s="3" t="s">
        <v>191</v>
      </c>
      <c r="B76" s="3" t="str">
        <v>TSFC_mil_sl</v>
      </c>
      <c r="C76" s="4" t="s">
        <v>195</v>
      </c>
      <c r="D76" s="5" t="s">
        <v>200</v>
      </c>
    </row>
    <row r="77" spans="1:4" ht="28.8">
      <c r="A77" s="3" t="s">
        <v>191</v>
      </c>
      <c r="B77" s="3" t="str">
        <v>TA_AB_sl</v>
      </c>
      <c r="C77" s="4" t="s">
        <v>194</v>
      </c>
      <c r="D77" s="5" t="s">
        <v>202</v>
      </c>
    </row>
    <row r="78" spans="1:4" ht="28.8">
      <c r="A78" s="3" t="s">
        <v>191</v>
      </c>
      <c r="B78" s="3" t="str">
        <v>TSFC_AB_sl</v>
      </c>
      <c r="C78" s="4" t="s">
        <v>195</v>
      </c>
      <c r="D78" s="5" t="s">
        <v>201</v>
      </c>
    </row>
    <row r="79" spans="1:4">
      <c r="A79" s="3" t="s">
        <v>191</v>
      </c>
      <c r="B79" s="3" t="str">
        <v>Install_loss</v>
      </c>
      <c r="C79" s="4" t="s">
        <v>58</v>
      </c>
      <c r="D79" s="5" t="s">
        <v>203</v>
      </c>
    </row>
    <row r="80" spans="1:4">
      <c r="A80" s="3" t="s">
        <v>191</v>
      </c>
      <c r="B80" s="3" t="str">
        <v>PA_shp_sl</v>
      </c>
      <c r="C80" s="4" t="s">
        <v>196</v>
      </c>
      <c r="D80" s="5" t="s">
        <v>204</v>
      </c>
    </row>
    <row r="81" spans="1:4">
      <c r="A81" s="3" t="s">
        <v>191</v>
      </c>
      <c r="B81" s="3" t="str">
        <v>SFC_sl</v>
      </c>
      <c r="C81" s="4" t="s">
        <v>197</v>
      </c>
      <c r="D81" s="5" t="s">
        <v>205</v>
      </c>
    </row>
    <row r="82" spans="1:4">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6"/>
  <sheetViews>
    <sheetView zoomScale="171" workbookViewId="0">
      <selection activeCell="AV10" sqref="AV10"/>
    </sheetView>
  </sheetViews>
  <sheetFormatPr defaultColWidth="8.77734375" defaultRowHeight="14.4"/>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180</v>
      </c>
      <c r="B2" s="4" t="s">
        <v>209</v>
      </c>
      <c r="C2" s="4">
        <v>0</v>
      </c>
      <c r="D2" s="4">
        <v>0.85</v>
      </c>
      <c r="E2" s="4">
        <v>1.6</v>
      </c>
      <c r="F2" s="4">
        <v>46.5</v>
      </c>
      <c r="G2" s="4">
        <v>4.5</v>
      </c>
      <c r="H2" s="4">
        <f t="shared" ref="H2"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c r="A3" s="4" t="s">
        <v>241</v>
      </c>
      <c r="B3" s="4" t="s">
        <v>233</v>
      </c>
      <c r="C3" s="4">
        <v>8000</v>
      </c>
      <c r="D3" s="32">
        <v>0.16889999999999999</v>
      </c>
      <c r="E3" s="4">
        <v>0.20569999999999999</v>
      </c>
      <c r="F3" s="4">
        <f>36/12</f>
        <v>3</v>
      </c>
      <c r="G3" s="4">
        <f>(2*2.784)/12</f>
        <v>0.46399999999999997</v>
      </c>
      <c r="H3" s="4">
        <f>F3/G3</f>
        <v>6.4655172413793105</v>
      </c>
      <c r="I3" s="4">
        <f>PI()*(G3/2)^2</f>
        <v>0.16909308298681699</v>
      </c>
      <c r="J3" s="33">
        <f>I3/2</f>
        <v>8.4546541493408497E-2</v>
      </c>
      <c r="K3" s="33">
        <f>(G3/2)*H3*2*PI()+2*PI()*(G3/2)^2</f>
        <v>9.7629641267430127</v>
      </c>
      <c r="L3" s="33">
        <v>1</v>
      </c>
      <c r="M3" s="34">
        <v>0</v>
      </c>
      <c r="N3" s="4">
        <f>((7)^2)/(P3)</f>
        <v>6.5333333333333332</v>
      </c>
      <c r="O3" s="4">
        <f>2*N3</f>
        <v>13.066666666666666</v>
      </c>
      <c r="P3" s="4">
        <v>7.5</v>
      </c>
      <c r="Q3" s="4">
        <v>0.7</v>
      </c>
      <c r="R3" s="4">
        <v>3</v>
      </c>
      <c r="S3" s="4">
        <v>1</v>
      </c>
      <c r="T3" s="4">
        <v>1.1000000000000001</v>
      </c>
      <c r="U3" s="4">
        <f>((32/12)^2)/W3</f>
        <v>1.7777777777777777</v>
      </c>
      <c r="V3" s="4">
        <f>2*U3</f>
        <v>3.5555555555555554</v>
      </c>
      <c r="W3" s="4">
        <v>4</v>
      </c>
      <c r="X3" s="4">
        <v>1</v>
      </c>
      <c r="Y3" s="4">
        <v>0</v>
      </c>
      <c r="Z3" s="4">
        <f>U3/(32/12)</f>
        <v>0.66666666666666663</v>
      </c>
      <c r="AA3" s="4">
        <v>1.1000000000000001</v>
      </c>
      <c r="AB3" s="4">
        <v>0</v>
      </c>
      <c r="AC3" s="4">
        <v>0</v>
      </c>
      <c r="AD3" s="4">
        <v>0</v>
      </c>
      <c r="AE3" s="4">
        <v>0</v>
      </c>
      <c r="AF3" s="4">
        <v>0</v>
      </c>
      <c r="AG3" s="4">
        <v>0</v>
      </c>
      <c r="AH3" s="4">
        <v>0</v>
      </c>
      <c r="AI3" s="4">
        <f>((1.5)^2)/AK3</f>
        <v>1.2857142857142858</v>
      </c>
      <c r="AJ3" s="4">
        <f>AI3*2</f>
        <v>2.5714285714285716</v>
      </c>
      <c r="AK3" s="4">
        <v>1.75</v>
      </c>
      <c r="AL3" s="4">
        <v>0.65</v>
      </c>
      <c r="AM3" s="4">
        <v>25</v>
      </c>
      <c r="AN3" s="4">
        <v>0.87</v>
      </c>
      <c r="AO3" s="4">
        <v>1.1000000000000001</v>
      </c>
      <c r="AP3" s="4">
        <f>((1.5)^2)/AR3</f>
        <v>1.2857142857142858</v>
      </c>
      <c r="AQ3" s="4">
        <f>AP3*2</f>
        <v>2.5714285714285716</v>
      </c>
      <c r="AR3" s="4">
        <v>1.75</v>
      </c>
      <c r="AS3" s="4">
        <v>0.65</v>
      </c>
      <c r="AT3" s="4">
        <v>25</v>
      </c>
      <c r="AU3" s="4">
        <v>0.87</v>
      </c>
      <c r="AV3" s="4">
        <v>1.1000000000000001</v>
      </c>
    </row>
    <row r="4" spans="1:48">
      <c r="A4" s="4" t="s">
        <v>242</v>
      </c>
      <c r="B4" s="4" t="s">
        <v>233</v>
      </c>
      <c r="C4" s="4">
        <v>8000</v>
      </c>
      <c r="D4" s="4">
        <v>0.20300000000000001</v>
      </c>
      <c r="E4" s="4">
        <v>0.20799999999999999</v>
      </c>
      <c r="F4" s="4">
        <f>44/12</f>
        <v>3.6666666666666665</v>
      </c>
      <c r="G4" s="4">
        <f>7/12</f>
        <v>0.58333333333333337</v>
      </c>
      <c r="H4" s="4">
        <f>F4/G4</f>
        <v>6.2857142857142847</v>
      </c>
      <c r="I4" s="4">
        <f>(PI()/4)*G4^2</f>
        <v>0.26725354171163174</v>
      </c>
      <c r="J4" s="4">
        <v>0</v>
      </c>
      <c r="K4" s="4">
        <f>F4*PI()*G4</f>
        <v>6.719517620178169</v>
      </c>
      <c r="L4" s="4">
        <v>1</v>
      </c>
      <c r="M4" s="4">
        <v>0</v>
      </c>
      <c r="N4" s="4">
        <v>4</v>
      </c>
      <c r="O4" s="4">
        <f>2*N4</f>
        <v>8</v>
      </c>
      <c r="P4" s="4">
        <f>(4^2)/N4</f>
        <v>4</v>
      </c>
      <c r="Q4" s="4">
        <v>1</v>
      </c>
      <c r="R4" s="4">
        <v>0</v>
      </c>
      <c r="S4" s="4">
        <v>0</v>
      </c>
      <c r="T4" s="4">
        <v>1.1000000000000001</v>
      </c>
      <c r="U4" s="4">
        <v>2</v>
      </c>
      <c r="V4" s="4">
        <f>2*U4</f>
        <v>4</v>
      </c>
      <c r="W4" s="4">
        <v>2</v>
      </c>
      <c r="X4" s="4">
        <v>1</v>
      </c>
      <c r="Y4" s="4">
        <v>0</v>
      </c>
      <c r="Z4" s="4">
        <v>1</v>
      </c>
      <c r="AA4" s="4">
        <v>1.1000000000000001</v>
      </c>
      <c r="AB4" s="4">
        <v>0</v>
      </c>
      <c r="AC4" s="4">
        <v>0</v>
      </c>
      <c r="AD4" s="4">
        <v>0</v>
      </c>
      <c r="AE4" s="4">
        <v>0</v>
      </c>
      <c r="AF4" s="4">
        <v>0</v>
      </c>
      <c r="AG4" s="4">
        <v>0</v>
      </c>
      <c r="AH4" s="4">
        <v>0</v>
      </c>
      <c r="AI4" s="4">
        <v>0.58330000000000004</v>
      </c>
      <c r="AJ4" s="4">
        <f>2*AI4</f>
        <v>1.1666000000000001</v>
      </c>
      <c r="AK4" s="4">
        <f>1/AI4</f>
        <v>1.7143836790673752</v>
      </c>
      <c r="AL4" s="4">
        <f>1/6</f>
        <v>0.16666666666666666</v>
      </c>
      <c r="AM4" s="4">
        <f>ATAN(10/8)*180/PI()</f>
        <v>51.340191745909912</v>
      </c>
      <c r="AN4" s="4">
        <f>7/12</f>
        <v>0.58333333333333337</v>
      </c>
      <c r="AO4" s="4">
        <v>1.1000000000000001</v>
      </c>
      <c r="AP4" s="4">
        <v>0.58330000000000004</v>
      </c>
      <c r="AQ4" s="4">
        <f>2*AP4</f>
        <v>1.1666000000000001</v>
      </c>
      <c r="AR4" s="4">
        <f>1/AP4</f>
        <v>1.7143836790673752</v>
      </c>
      <c r="AS4" s="4">
        <f>1/6</f>
        <v>0.16666666666666666</v>
      </c>
      <c r="AT4" s="4">
        <f>ATAN(10/8)*180/PI()</f>
        <v>51.340191745909912</v>
      </c>
      <c r="AU4" s="4">
        <f>7/12</f>
        <v>0.58333333333333337</v>
      </c>
      <c r="AV4" s="4">
        <v>1.1000000000000001</v>
      </c>
    </row>
    <row r="16" spans="1:48" s="22"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workbookViewId="0">
      <selection activeCell="A5" sqref="A5"/>
    </sheetView>
  </sheetViews>
  <sheetFormatPr defaultColWidth="8.77734375" defaultRowHeight="14.4"/>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c r="A3" s="10" t="s">
        <v>246</v>
      </c>
      <c r="B3" s="10" t="s">
        <v>243</v>
      </c>
      <c r="C3" s="10">
        <v>0.12</v>
      </c>
      <c r="D3" s="10">
        <v>0.3</v>
      </c>
      <c r="E3" s="10">
        <v>-0.43940000000000001</v>
      </c>
      <c r="F3" s="10">
        <v>-0.33539999999999998</v>
      </c>
      <c r="G3" s="10">
        <v>-0.2321</v>
      </c>
      <c r="H3" s="10">
        <v>-0.14319999999999999</v>
      </c>
      <c r="I3" s="10">
        <v>2.9700000000000001E-2</v>
      </c>
      <c r="J3" s="10">
        <v>0.1804</v>
      </c>
      <c r="K3" s="10">
        <v>0.31659999999999999</v>
      </c>
      <c r="L3" s="10">
        <v>0.4299</v>
      </c>
      <c r="M3" s="10">
        <v>0.52790000000000004</v>
      </c>
      <c r="N3" s="10">
        <v>0.63500000000000001</v>
      </c>
      <c r="O3" s="10">
        <v>0.70940000000000003</v>
      </c>
      <c r="P3" s="10">
        <v>0.77370000000000005</v>
      </c>
      <c r="Q3" s="10">
        <v>0.84299999999999997</v>
      </c>
      <c r="R3" s="10">
        <v>0.90810000000000002</v>
      </c>
      <c r="S3" s="10">
        <v>1.2725</v>
      </c>
      <c r="T3" s="10">
        <v>1.3248</v>
      </c>
      <c r="U3" s="10">
        <v>1.3527</v>
      </c>
      <c r="V3" s="10">
        <v>1.4092</v>
      </c>
      <c r="W3" s="10">
        <v>1.4298</v>
      </c>
      <c r="X3" s="10">
        <v>7.85E-2</v>
      </c>
      <c r="Y3" s="10">
        <v>4.419E-2</v>
      </c>
      <c r="Z3" s="10">
        <v>3.6269999999999997E-2</v>
      </c>
      <c r="AA3" s="10">
        <v>3.3689999999999998E-2</v>
      </c>
      <c r="AB3" s="10">
        <v>3.2579999999999998E-2</v>
      </c>
      <c r="AC3" s="10">
        <v>3.3180000000000001E-2</v>
      </c>
      <c r="AD3" s="10">
        <v>3.6569999999999998E-2</v>
      </c>
      <c r="AE3" s="10">
        <v>4.0140000000000002E-2</v>
      </c>
      <c r="AF3" s="10">
        <v>4.4260000000000001E-2</v>
      </c>
      <c r="AG3" s="10">
        <v>4.8320000000000002E-2</v>
      </c>
      <c r="AH3" s="10">
        <v>5.3749999999999999E-2</v>
      </c>
      <c r="AI3" s="10">
        <v>6.012E-2</v>
      </c>
      <c r="AJ3" s="10">
        <v>6.6339999999999996E-2</v>
      </c>
      <c r="AK3" s="10">
        <v>7.1929999999999994E-2</v>
      </c>
      <c r="AL3" s="10">
        <v>4.1549999999999997E-2</v>
      </c>
      <c r="AM3" s="10">
        <v>3.9910000000000001E-2</v>
      </c>
      <c r="AN3" s="10">
        <v>4.7419999999999997E-2</v>
      </c>
      <c r="AO3" s="10">
        <v>5.7959999999999998E-2</v>
      </c>
      <c r="AP3" s="10">
        <v>3.9419999999999997E-2</v>
      </c>
      <c r="AQ3" s="10" t="s">
        <v>243</v>
      </c>
      <c r="AR3" s="10">
        <v>0.12</v>
      </c>
      <c r="AS3" s="10">
        <v>0.3</v>
      </c>
      <c r="AT3" s="10">
        <v>0</v>
      </c>
      <c r="AU3" s="10">
        <v>0</v>
      </c>
      <c r="AV3" s="10">
        <v>0</v>
      </c>
      <c r="AW3" s="10" t="s">
        <v>243</v>
      </c>
      <c r="AX3" s="10">
        <v>0.12</v>
      </c>
      <c r="AY3" s="10">
        <v>0.3</v>
      </c>
      <c r="AZ3" s="10" t="s">
        <v>243</v>
      </c>
      <c r="BA3" s="10">
        <v>0.12</v>
      </c>
      <c r="BB3" s="10">
        <v>0.3</v>
      </c>
    </row>
    <row r="4" spans="1:54">
      <c r="A4" s="10" t="str">
        <f>Main_Input!A4</f>
        <v>Push/Pull</v>
      </c>
      <c r="B4" s="10" t="s">
        <v>247</v>
      </c>
      <c r="C4" s="10">
        <v>0.12</v>
      </c>
      <c r="D4" s="10">
        <v>0.3</v>
      </c>
      <c r="E4" s="10">
        <v>-0.43940000000000001</v>
      </c>
      <c r="F4" s="10">
        <v>-0.33539999999999998</v>
      </c>
      <c r="G4" s="10">
        <v>-0.2321</v>
      </c>
      <c r="H4" s="10">
        <v>-0.14319999999999999</v>
      </c>
      <c r="I4" s="10">
        <v>2.9700000000000001E-2</v>
      </c>
      <c r="J4" s="10">
        <v>0.1804</v>
      </c>
      <c r="K4" s="10">
        <v>0.31659999999999999</v>
      </c>
      <c r="L4" s="10">
        <v>0.4299</v>
      </c>
      <c r="M4" s="10">
        <v>0.52790000000000004</v>
      </c>
      <c r="N4" s="10">
        <v>0.63500000000000001</v>
      </c>
      <c r="O4" s="10">
        <v>0.70940000000000003</v>
      </c>
      <c r="P4" s="10">
        <v>0.77370000000000005</v>
      </c>
      <c r="Q4" s="10">
        <v>0.84299999999999997</v>
      </c>
      <c r="R4" s="10">
        <v>0.90810000000000002</v>
      </c>
      <c r="S4" s="10">
        <v>1.2725</v>
      </c>
      <c r="T4" s="10">
        <v>1.3248</v>
      </c>
      <c r="U4" s="10">
        <v>1.3527</v>
      </c>
      <c r="V4" s="10">
        <v>1.4092</v>
      </c>
      <c r="W4" s="10">
        <v>1.4298</v>
      </c>
      <c r="X4" s="10">
        <v>7.85E-2</v>
      </c>
      <c r="Y4" s="10">
        <v>4.419E-2</v>
      </c>
      <c r="Z4" s="10">
        <v>3.6269999999999997E-2</v>
      </c>
      <c r="AA4" s="10">
        <v>3.3689999999999998E-2</v>
      </c>
      <c r="AB4" s="10">
        <v>3.2579999999999998E-2</v>
      </c>
      <c r="AC4" s="10">
        <v>3.3180000000000001E-2</v>
      </c>
      <c r="AD4" s="10">
        <v>3.6569999999999998E-2</v>
      </c>
      <c r="AE4" s="10">
        <v>4.0140000000000002E-2</v>
      </c>
      <c r="AF4" s="10">
        <v>4.4260000000000001E-2</v>
      </c>
      <c r="AG4" s="10">
        <v>4.8320000000000002E-2</v>
      </c>
      <c r="AH4" s="10">
        <v>5.3749999999999999E-2</v>
      </c>
      <c r="AI4" s="10">
        <v>6.012E-2</v>
      </c>
      <c r="AJ4" s="10">
        <v>6.6339999999999996E-2</v>
      </c>
      <c r="AK4" s="10">
        <v>7.1929999999999994E-2</v>
      </c>
      <c r="AL4" s="10">
        <v>4.1549999999999997E-2</v>
      </c>
      <c r="AM4" s="10">
        <v>3.9910000000000001E-2</v>
      </c>
      <c r="AN4" s="10">
        <v>4.7419999999999997E-2</v>
      </c>
      <c r="AO4" s="10">
        <v>5.7959999999999998E-2</v>
      </c>
      <c r="AP4" s="10">
        <v>3.9419999999999997E-2</v>
      </c>
      <c r="AQ4" s="10" t="s">
        <v>247</v>
      </c>
      <c r="AR4" s="10">
        <v>0.12</v>
      </c>
      <c r="AS4" s="10">
        <v>0.3</v>
      </c>
      <c r="AT4" s="10">
        <v>0</v>
      </c>
      <c r="AU4" s="10">
        <v>0</v>
      </c>
      <c r="AV4" s="10">
        <v>0</v>
      </c>
      <c r="AW4" s="10" t="s">
        <v>247</v>
      </c>
      <c r="AX4" s="10">
        <v>0.12</v>
      </c>
      <c r="AY4" s="10">
        <v>0.3</v>
      </c>
      <c r="AZ4" s="10" t="s">
        <v>247</v>
      </c>
      <c r="BA4" s="10">
        <v>0.12</v>
      </c>
      <c r="BB4" s="10">
        <v>0.3</v>
      </c>
    </row>
    <row r="16" spans="1:54" s="23"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6"/>
  <sheetViews>
    <sheetView tabSelected="1" topLeftCell="E1" zoomScale="164" workbookViewId="0">
      <selection activeCell="R7" sqref="R7"/>
    </sheetView>
  </sheetViews>
  <sheetFormatPr defaultColWidth="8.77734375" defaultRowHeight="14.4"/>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c r="A1" s="20" t="s">
        <v>44</v>
      </c>
      <c r="B1" s="20" t="s">
        <v>182</v>
      </c>
      <c r="C1" s="20" t="s">
        <v>164</v>
      </c>
      <c r="D1" s="18" t="s">
        <v>189</v>
      </c>
      <c r="E1" s="18" t="s">
        <v>190</v>
      </c>
      <c r="F1" s="18" t="s">
        <v>183</v>
      </c>
      <c r="G1" s="18" t="s">
        <v>184</v>
      </c>
      <c r="H1" s="18" t="s">
        <v>168</v>
      </c>
      <c r="I1" s="19" t="s">
        <v>165</v>
      </c>
      <c r="J1" s="19" t="s">
        <v>166</v>
      </c>
      <c r="K1" s="19" t="s">
        <v>167</v>
      </c>
      <c r="L1" s="19" t="s">
        <v>236</v>
      </c>
      <c r="M1" s="30" t="s">
        <v>214</v>
      </c>
      <c r="N1" s="30" t="s">
        <v>215</v>
      </c>
      <c r="O1" s="30" t="s">
        <v>216</v>
      </c>
      <c r="P1" s="30" t="s">
        <v>217</v>
      </c>
      <c r="Q1" s="30" t="s">
        <v>218</v>
      </c>
      <c r="R1" s="30" t="s">
        <v>219</v>
      </c>
    </row>
    <row r="2" spans="1:18">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c r="A3" t="str">
        <f>Main_Input!A3</f>
        <v>Kowalski</v>
      </c>
      <c r="B3" t="s">
        <v>188</v>
      </c>
      <c r="C3">
        <v>2</v>
      </c>
      <c r="D3">
        <v>0</v>
      </c>
      <c r="E3">
        <v>0</v>
      </c>
      <c r="F3">
        <v>0</v>
      </c>
      <c r="G3">
        <v>0</v>
      </c>
      <c r="H3">
        <v>0</v>
      </c>
      <c r="I3">
        <f>(6000/745.7)*2</f>
        <v>16.092262303875554</v>
      </c>
      <c r="J3">
        <v>0</v>
      </c>
      <c r="K3">
        <v>0.75</v>
      </c>
      <c r="L3">
        <v>22</v>
      </c>
      <c r="M3">
        <v>250</v>
      </c>
      <c r="N3">
        <v>0.9</v>
      </c>
      <c r="O3">
        <v>0.9</v>
      </c>
      <c r="P3">
        <v>0.9</v>
      </c>
      <c r="Q3">
        <f>(M3*N3*O3*P3)/2.20462</f>
        <v>82.667307744645342</v>
      </c>
      <c r="R3">
        <v>0.82899999999999996</v>
      </c>
    </row>
    <row r="4" spans="1:18">
      <c r="A4" t="str">
        <f>Main_Input!A4</f>
        <v>Push/Pull</v>
      </c>
      <c r="B4" t="s">
        <v>188</v>
      </c>
      <c r="C4">
        <v>2</v>
      </c>
      <c r="D4">
        <v>0</v>
      </c>
      <c r="E4">
        <v>0</v>
      </c>
      <c r="F4">
        <v>0</v>
      </c>
      <c r="G4">
        <v>0</v>
      </c>
      <c r="H4">
        <v>0</v>
      </c>
      <c r="I4">
        <f>(6000/745.7)*2</f>
        <v>16.092262303875554</v>
      </c>
      <c r="J4">
        <v>0</v>
      </c>
      <c r="K4">
        <v>0.75</v>
      </c>
      <c r="L4">
        <v>22</v>
      </c>
      <c r="M4">
        <v>250</v>
      </c>
      <c r="N4">
        <v>0.9</v>
      </c>
      <c r="O4">
        <v>0.9</v>
      </c>
      <c r="P4">
        <v>0.9</v>
      </c>
      <c r="Q4">
        <f>(M4*N4*O4*P4)/2.20462</f>
        <v>82.667307744645342</v>
      </c>
      <c r="R4">
        <v>0.82899999999999996</v>
      </c>
    </row>
    <row r="6" spans="1:18">
      <c r="D6" t="s">
        <v>237</v>
      </c>
      <c r="H6" s="31">
        <v>0.2</v>
      </c>
      <c r="I6" t="s">
        <v>238</v>
      </c>
      <c r="M6" t="s">
        <v>240</v>
      </c>
    </row>
    <row r="7" spans="1:18">
      <c r="D7" t="s">
        <v>239</v>
      </c>
      <c r="I7" t="s">
        <v>244</v>
      </c>
      <c r="N7" t="s">
        <v>245</v>
      </c>
    </row>
    <row r="16" spans="1:18" s="21"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cols>
    <col min="1" max="1" width="19.33203125" customWidth="1"/>
    <col min="2" max="2" width="26.109375" bestFit="1" customWidth="1"/>
    <col min="3" max="3" width="18.109375" customWidth="1"/>
  </cols>
  <sheetData>
    <row r="1" spans="1:2">
      <c r="A1" t="s">
        <v>182</v>
      </c>
      <c r="B1" t="s">
        <v>208</v>
      </c>
    </row>
    <row r="2" spans="1:2">
      <c r="A2" t="s">
        <v>187</v>
      </c>
      <c r="B2" t="s">
        <v>209</v>
      </c>
    </row>
    <row r="3" spans="1:2">
      <c r="A3" t="s">
        <v>188</v>
      </c>
      <c r="B3" t="s">
        <v>210</v>
      </c>
    </row>
    <row r="4" spans="1:2">
      <c r="A4" t="s">
        <v>185</v>
      </c>
      <c r="B4" t="s">
        <v>211</v>
      </c>
    </row>
    <row r="5" spans="1:2">
      <c r="A5" t="s">
        <v>186</v>
      </c>
      <c r="B5" t="s">
        <v>212</v>
      </c>
    </row>
    <row r="6" spans="1:2">
      <c r="A6" t="s">
        <v>235</v>
      </c>
      <c r="B6" t="s">
        <v>221</v>
      </c>
    </row>
    <row r="7" spans="1:2">
      <c r="A7" t="s">
        <v>220</v>
      </c>
      <c r="B7" t="s">
        <v>222</v>
      </c>
    </row>
    <row r="8" spans="1:2">
      <c r="B8" s="28" t="s">
        <v>223</v>
      </c>
    </row>
    <row r="9" spans="1:2">
      <c r="B9" t="s">
        <v>224</v>
      </c>
    </row>
    <row r="10" spans="1:2">
      <c r="B10" s="28" t="s">
        <v>225</v>
      </c>
    </row>
    <row r="11" spans="1:2">
      <c r="B11" t="s">
        <v>234</v>
      </c>
    </row>
    <row r="12" spans="1:2">
      <c r="B12" s="28" t="s">
        <v>233</v>
      </c>
    </row>
    <row r="13" spans="1:2">
      <c r="B13" t="s">
        <v>226</v>
      </c>
    </row>
    <row r="14" spans="1:2">
      <c r="B14" t="s">
        <v>227</v>
      </c>
    </row>
    <row r="15" spans="1:2">
      <c r="B15" t="s">
        <v>228</v>
      </c>
    </row>
    <row r="16" spans="1:2">
      <c r="B16" t="s">
        <v>232</v>
      </c>
    </row>
    <row r="17" spans="2:2">
      <c r="B17" t="s">
        <v>229</v>
      </c>
    </row>
    <row r="18" spans="2:2">
      <c r="B18" t="s">
        <v>231</v>
      </c>
    </row>
    <row r="19" spans="2:2">
      <c r="B19" t="s">
        <v>230</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zoomScale="79" workbookViewId="0">
      <selection activeCell="U1" sqref="U1"/>
    </sheetView>
  </sheetViews>
  <sheetFormatPr defaultColWidth="8.77734375"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2026-09-13T19:25:54Z</dcterms:modified>
</cp:coreProperties>
</file>