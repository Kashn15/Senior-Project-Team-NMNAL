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ES-AircraftDesignToolbox/MAIN/Input Excel Sheets/Point Performance Requirements/"/>
    </mc:Choice>
  </mc:AlternateContent>
  <xr:revisionPtr revIDLastSave="124" documentId="13_ncr:1_{01591A84-F50A-5F4F-A971-842A73331CF1}" xr6:coauthVersionLast="47" xr6:coauthVersionMax="47" xr10:uidLastSave="{2BF22775-C6C6-43B9-AE13-995DCE425844}"/>
  <bookViews>
    <workbookView xWindow="-28920" yWindow="-1950" windowWidth="29040" windowHeight="15720" activeTab="1" xr2:uid="{AC12A90C-16A5-0547-A6DB-57534C200D25}"/>
  </bookViews>
  <sheets>
    <sheet name="Templates" sheetId="2" r:id="rId1"/>
    <sheet name="Test Case 1" sheetId="11" r:id="rId2"/>
    <sheet name="Test 1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1" l="1"/>
  <c r="J15" i="11"/>
  <c r="J9" i="11"/>
  <c r="J13" i="11" s="1"/>
  <c r="E5" i="11"/>
  <c r="F3" i="11"/>
  <c r="E5" i="10"/>
  <c r="F3" i="10"/>
  <c r="J15" i="10"/>
  <c r="J13" i="10"/>
  <c r="J11" i="10"/>
  <c r="J9" i="10"/>
  <c r="J11" i="11" l="1"/>
</calcChain>
</file>

<file path=xl/sharedStrings.xml><?xml version="1.0" encoding="utf-8"?>
<sst xmlns="http://schemas.openxmlformats.org/spreadsheetml/2006/main" count="247" uniqueCount="44">
  <si>
    <t>Coef Friction</t>
  </si>
  <si>
    <t>Altitude [ft]</t>
  </si>
  <si>
    <t>Takeoff Distance</t>
  </si>
  <si>
    <t>Beta</t>
  </si>
  <si>
    <t>Throttle</t>
  </si>
  <si>
    <t>CL Max</t>
  </si>
  <si>
    <t>CDx</t>
  </si>
  <si>
    <t>Takeoff Distance [ft]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</si>
  <si>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</si>
  <si>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</si>
  <si>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</si>
  <si>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</si>
  <si>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</si>
  <si>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</si>
  <si>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</si>
  <si>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</si>
  <si>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</si>
  <si>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</si>
  <si>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</si>
  <si>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Max Mach</t>
  </si>
  <si>
    <t>Landing Distance</t>
  </si>
  <si>
    <t>Landing Distance [ft]</t>
  </si>
  <si>
    <t>VTOL</t>
  </si>
  <si>
    <t>Altitude[ft]</t>
  </si>
  <si>
    <t>V_Climb [ft/s]</t>
  </si>
  <si>
    <t>PROP</t>
  </si>
  <si>
    <t>Requirement #</t>
  </si>
  <si>
    <t>Requirement Type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</si>
  <si>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</si>
  <si>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</si>
  <si>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</si>
  <si>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</si>
  <si>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</si>
  <si>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</si>
  <si>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</si>
  <si>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</si>
  <si>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Input 9</t>
  </si>
  <si>
    <t>Takeoff</t>
  </si>
  <si>
    <t>Landing</t>
  </si>
  <si>
    <t>Objective Altitude</t>
  </si>
  <si>
    <t>Threshold Altitude</t>
  </si>
  <si>
    <t>Loiter turn to Airport</t>
  </si>
  <si>
    <t>Max Speed</t>
  </si>
  <si>
    <t>Max 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</si>
</sst>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2" borderId="1" xfId="0" applyFont="1" applyFill="1" applyBorder="1"/>
    <xf numFmtId="0" fontId="2" fillId="0" borderId="6" xfId="0" applyFont="1" applyBorder="1"/>
    <xf numFmtId="0" fontId="1" fillId="2" borderId="2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7" xfId="0" applyFont="1" applyBorder="1"/>
    <xf numFmtId="0" fontId="4" fillId="3" borderId="8" xfId="0" applyFont="1" applyFill="1" applyBorder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K200"/>
  <sheetViews>
    <sheetView zoomScale="97" workbookViewId="0">
      <selection activeCell="B17" sqref="B17"/>
    </sheetView>
  </sheetViews>
  <sheetFormatPr defaultColWidth="10.796875" defaultRowHeight="15"/>
  <cols>
    <col min="1" max="1" width="18" style="2" customWidth="1"/>
    <col min="2" max="5" width="20.796875" style="2" customWidth="1"/>
    <col min="6" max="7" width="13.5" style="2" bestFit="1" customWidth="1"/>
    <col min="8" max="8" width="20.796875" style="2" customWidth="1"/>
    <col min="9" max="9" width="21.19921875" style="2" bestFit="1" customWidth="1"/>
    <col min="10" max="10" width="20.69921875" style="2" bestFit="1" customWidth="1"/>
    <col min="11" max="16384" width="10.796875" style="2"/>
  </cols>
  <sheetData>
    <row r="1" spans="1:11" ht="16.2" thickBot="1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</row>
    <row r="2" spans="1:11" ht="15.6">
      <c r="A2" s="6">
        <v>1</v>
      </c>
      <c r="B2" s="6" t="s">
        <v>2</v>
      </c>
      <c r="C2" s="7" t="s">
        <v>3</v>
      </c>
      <c r="D2" s="7" t="s">
        <v>1</v>
      </c>
      <c r="E2" s="7" t="s">
        <v>4</v>
      </c>
      <c r="F2" s="7" t="s">
        <v>5</v>
      </c>
      <c r="G2" s="7" t="s">
        <v>0</v>
      </c>
      <c r="H2" s="7" t="s">
        <v>6</v>
      </c>
      <c r="I2" s="7" t="s">
        <v>7</v>
      </c>
      <c r="J2" s="7" t="s">
        <v>8</v>
      </c>
      <c r="K2" s="8"/>
    </row>
    <row r="3" spans="1:11" ht="15.6">
      <c r="A3" s="4"/>
      <c r="B3" s="4"/>
      <c r="C3" s="3"/>
      <c r="D3" s="3"/>
      <c r="E3" s="3"/>
      <c r="F3" s="5"/>
      <c r="G3" s="3"/>
      <c r="H3" s="3"/>
      <c r="I3" s="3"/>
      <c r="J3" s="9"/>
      <c r="K3" s="3"/>
    </row>
    <row r="4" spans="1:11" ht="15.6">
      <c r="A4" s="10">
        <v>2</v>
      </c>
      <c r="B4" s="10" t="s">
        <v>20</v>
      </c>
      <c r="C4" s="11" t="s">
        <v>3</v>
      </c>
      <c r="D4" s="11" t="s">
        <v>1</v>
      </c>
      <c r="E4" s="11" t="s">
        <v>5</v>
      </c>
      <c r="F4" s="11" t="s">
        <v>0</v>
      </c>
      <c r="G4" s="11" t="s">
        <v>6</v>
      </c>
      <c r="H4" s="11" t="s">
        <v>21</v>
      </c>
      <c r="I4" s="11" t="s">
        <v>8</v>
      </c>
      <c r="J4" s="11"/>
      <c r="K4" s="8"/>
    </row>
    <row r="5" spans="1:11" ht="15.6">
      <c r="A5" s="4"/>
      <c r="B5" s="4"/>
      <c r="C5" s="3"/>
      <c r="D5" s="3"/>
      <c r="E5" s="3"/>
      <c r="F5" s="5"/>
      <c r="G5" s="3"/>
      <c r="H5" s="3"/>
      <c r="I5" s="3"/>
      <c r="J5" s="9"/>
      <c r="K5" s="3"/>
    </row>
    <row r="6" spans="1:11" ht="15.6">
      <c r="A6" s="10">
        <v>3</v>
      </c>
      <c r="B6" s="10" t="s">
        <v>9</v>
      </c>
      <c r="C6" s="11" t="s">
        <v>1</v>
      </c>
      <c r="D6" s="11" t="s">
        <v>5</v>
      </c>
      <c r="E6" s="11" t="s">
        <v>10</v>
      </c>
      <c r="F6" s="11" t="s">
        <v>8</v>
      </c>
      <c r="G6" s="11"/>
      <c r="H6" s="11"/>
      <c r="I6" s="11"/>
      <c r="J6" s="11"/>
      <c r="K6" s="8"/>
    </row>
    <row r="7" spans="1:11" ht="15.6">
      <c r="A7" s="4"/>
      <c r="B7" s="4"/>
      <c r="C7" s="3"/>
      <c r="D7" s="3"/>
      <c r="E7" s="3"/>
      <c r="F7" s="5"/>
      <c r="G7" s="3"/>
      <c r="H7" s="3"/>
      <c r="I7" s="3"/>
      <c r="J7" s="9"/>
      <c r="K7" s="3"/>
    </row>
    <row r="8" spans="1:11" s="14" customFormat="1" ht="15.6">
      <c r="A8" s="10">
        <v>4</v>
      </c>
      <c r="B8" s="12" t="s">
        <v>11</v>
      </c>
      <c r="C8" s="13" t="s">
        <v>3</v>
      </c>
      <c r="D8" s="13" t="s">
        <v>1</v>
      </c>
      <c r="E8" s="13" t="s">
        <v>12</v>
      </c>
      <c r="F8" s="13" t="s">
        <v>13</v>
      </c>
      <c r="G8" s="13" t="s">
        <v>4</v>
      </c>
      <c r="H8" s="13" t="s">
        <v>14</v>
      </c>
      <c r="I8" s="13" t="s">
        <v>15</v>
      </c>
      <c r="J8" s="13" t="s">
        <v>16</v>
      </c>
      <c r="K8" s="13" t="s">
        <v>8</v>
      </c>
    </row>
    <row r="9" spans="1:11" ht="15.6">
      <c r="A9" s="4"/>
      <c r="B9" s="4"/>
      <c r="C9" s="3"/>
      <c r="D9" s="3"/>
      <c r="E9" s="3"/>
      <c r="F9" s="3"/>
      <c r="G9" s="3"/>
      <c r="H9" s="3"/>
      <c r="I9" s="3"/>
      <c r="J9" s="3"/>
      <c r="K9" s="3"/>
    </row>
    <row r="10" spans="1:11" s="14" customFormat="1" ht="15.6">
      <c r="A10" s="10">
        <v>5</v>
      </c>
      <c r="B10" s="12" t="s">
        <v>17</v>
      </c>
      <c r="C10" s="13" t="s">
        <v>3</v>
      </c>
      <c r="D10" s="13" t="s">
        <v>1</v>
      </c>
      <c r="E10" s="13" t="s">
        <v>12</v>
      </c>
      <c r="F10" s="13" t="s">
        <v>13</v>
      </c>
      <c r="G10" s="13" t="s">
        <v>4</v>
      </c>
      <c r="H10" s="13" t="s">
        <v>14</v>
      </c>
      <c r="I10" s="13" t="s">
        <v>15</v>
      </c>
      <c r="J10" s="13" t="s">
        <v>16</v>
      </c>
      <c r="K10" s="13" t="s">
        <v>8</v>
      </c>
    </row>
    <row r="11" spans="1:11" ht="15.6">
      <c r="A11" s="4"/>
      <c r="B11" s="4"/>
      <c r="C11" s="3"/>
      <c r="D11" s="3"/>
      <c r="E11" s="3"/>
      <c r="F11" s="3"/>
      <c r="G11" s="3"/>
      <c r="H11" s="3"/>
      <c r="I11" s="3"/>
      <c r="J11" s="3"/>
      <c r="K11" s="3"/>
    </row>
    <row r="12" spans="1:11" s="14" customFormat="1" ht="15.6">
      <c r="A12" s="10">
        <v>6</v>
      </c>
      <c r="B12" s="12" t="s">
        <v>18</v>
      </c>
      <c r="C12" s="13" t="s">
        <v>3</v>
      </c>
      <c r="D12" s="13" t="s">
        <v>1</v>
      </c>
      <c r="E12" s="13" t="s">
        <v>12</v>
      </c>
      <c r="F12" s="13" t="s">
        <v>13</v>
      </c>
      <c r="G12" s="13" t="s">
        <v>4</v>
      </c>
      <c r="H12" s="13" t="s">
        <v>14</v>
      </c>
      <c r="I12" s="13" t="s">
        <v>15</v>
      </c>
      <c r="J12" s="13" t="s">
        <v>16</v>
      </c>
      <c r="K12" s="13" t="s">
        <v>8</v>
      </c>
    </row>
    <row r="13" spans="1:11" ht="15.6">
      <c r="A13" s="4"/>
      <c r="B13" s="4"/>
      <c r="C13" s="3"/>
      <c r="D13" s="3"/>
      <c r="E13" s="3"/>
      <c r="F13" s="3"/>
      <c r="G13" s="3"/>
      <c r="H13" s="3"/>
      <c r="I13" s="3"/>
      <c r="J13" s="3"/>
      <c r="K13" s="3"/>
    </row>
    <row r="14" spans="1:11" s="14" customFormat="1" ht="15.6">
      <c r="A14" s="10">
        <v>7</v>
      </c>
      <c r="B14" s="12" t="s">
        <v>19</v>
      </c>
      <c r="C14" s="13" t="s">
        <v>3</v>
      </c>
      <c r="D14" s="13" t="s">
        <v>1</v>
      </c>
      <c r="E14" s="13" t="s">
        <v>12</v>
      </c>
      <c r="F14" s="13" t="s">
        <v>13</v>
      </c>
      <c r="G14" s="13" t="s">
        <v>4</v>
      </c>
      <c r="H14" s="13" t="s">
        <v>14</v>
      </c>
      <c r="I14" s="13" t="s">
        <v>15</v>
      </c>
      <c r="J14" s="13" t="s">
        <v>16</v>
      </c>
      <c r="K14" s="13" t="s">
        <v>8</v>
      </c>
    </row>
    <row r="15" spans="1:11" ht="15.6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4"/>
      <c r="B16" s="1" t="s">
        <v>22</v>
      </c>
      <c r="C16" s="1" t="s">
        <v>3</v>
      </c>
      <c r="D16" s="1" t="s">
        <v>23</v>
      </c>
      <c r="E16" s="1" t="s">
        <v>24</v>
      </c>
    </row>
    <row r="17" spans="1:3" ht="15.6">
      <c r="A17" s="4"/>
      <c r="B17" s="1"/>
      <c r="C17" s="1"/>
    </row>
    <row r="18" spans="1:3" ht="15.6">
      <c r="A18" s="4"/>
    </row>
    <row r="19" spans="1:3" ht="15.6">
      <c r="A19" s="4"/>
    </row>
    <row r="20" spans="1:3" ht="15.6">
      <c r="A20" s="4"/>
      <c r="B20" s="1"/>
      <c r="C20" s="1"/>
    </row>
    <row r="21" spans="1:3">
      <c r="A21" s="15"/>
    </row>
    <row r="22" spans="1:3">
      <c r="A22" s="15"/>
    </row>
    <row r="23" spans="1:3" ht="15.6">
      <c r="A23" s="15"/>
      <c r="B23" s="1"/>
      <c r="C23" s="1"/>
    </row>
    <row r="24" spans="1:3">
      <c r="A24" s="15"/>
    </row>
    <row r="25" spans="1:3">
      <c r="A25" s="15"/>
    </row>
    <row r="26" spans="1:3">
      <c r="A26" s="15"/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 ht="15.6" thickBot="1">
      <c r="A200" s="16"/>
    </row>
  </sheetData>
  <conditionalFormatting sqref="A22:A1048576">
    <cfRule type="expression" dxfId="14" priority="3">
      <formula>MOD(ROW(),2)=0</formula>
    </cfRule>
  </conditionalFormatting>
  <conditionalFormatting sqref="A1:B1">
    <cfRule type="expression" dxfId="13" priority="1">
      <formula>MOD(ROW(),2)=0</formula>
    </cfRule>
  </conditionalFormatting>
  <conditionalFormatting sqref="C6:J7">
    <cfRule type="expression" dxfId="12" priority="5">
      <formula>MOD(ROW(),2)=0</formula>
    </cfRule>
  </conditionalFormatting>
  <conditionalFormatting sqref="C2:K5 C8:K15">
    <cfRule type="expression" dxfId="11" priority="6">
      <formula>MOD(ROW(),2)=0</formula>
    </cfRule>
  </conditionalFormatting>
  <conditionalFormatting sqref="D1:K1">
    <cfRule type="expression" dxfId="10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FF2E-7B72-4DF1-83E9-AEE922F91B76}">
  <dimension ref="A1:K199"/>
  <sheetViews>
    <sheetView tabSelected="1" zoomScale="97" workbookViewId="0">
      <selection activeCell="D17" sqref="D17"/>
    </sheetView>
  </sheetViews>
  <sheetFormatPr defaultColWidth="10.796875" defaultRowHeight="15"/>
  <cols>
    <col min="1" max="1" width="18" style="2" customWidth="1"/>
    <col min="2" max="5" width="20.796875" style="2" customWidth="1"/>
    <col min="6" max="7" width="13.5" style="2" bestFit="1" customWidth="1"/>
    <col min="8" max="8" width="20.796875" style="2" customWidth="1"/>
    <col min="9" max="9" width="21.19921875" style="2" bestFit="1" customWidth="1"/>
    <col min="10" max="10" width="20.69921875" style="2" bestFit="1" customWidth="1"/>
    <col min="11" max="16384" width="10.796875" style="2"/>
  </cols>
  <sheetData>
    <row r="1" spans="1:11" ht="16.2" thickBot="1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</row>
    <row r="2" spans="1:11" ht="15.6">
      <c r="A2" s="6">
        <v>1</v>
      </c>
      <c r="B2" s="6" t="s">
        <v>2</v>
      </c>
      <c r="C2" s="7" t="s">
        <v>3</v>
      </c>
      <c r="D2" s="7" t="s">
        <v>1</v>
      </c>
      <c r="E2" s="7" t="s">
        <v>4</v>
      </c>
      <c r="F2" s="7" t="s">
        <v>5</v>
      </c>
      <c r="G2" s="7" t="s">
        <v>0</v>
      </c>
      <c r="H2" s="7" t="s">
        <v>6</v>
      </c>
      <c r="I2" s="7" t="s">
        <v>7</v>
      </c>
      <c r="J2" s="7" t="s">
        <v>8</v>
      </c>
      <c r="K2" s="8"/>
    </row>
    <row r="3" spans="1:11" ht="15.6">
      <c r="A3" s="4"/>
      <c r="B3" s="4"/>
      <c r="C3" s="3">
        <v>1</v>
      </c>
      <c r="D3" s="3">
        <v>5402</v>
      </c>
      <c r="E3" s="3" t="s">
        <v>25</v>
      </c>
      <c r="F3" s="5">
        <f>2.4*0.6</f>
        <v>1.44</v>
      </c>
      <c r="G3" s="3">
        <v>0.04</v>
      </c>
      <c r="H3" s="3">
        <v>0.04</v>
      </c>
      <c r="I3" s="3">
        <v>400</v>
      </c>
      <c r="J3" s="9" t="s">
        <v>37</v>
      </c>
      <c r="K3" s="3"/>
    </row>
    <row r="4" spans="1:11" ht="15.6">
      <c r="A4" s="10">
        <v>2</v>
      </c>
      <c r="B4" s="10" t="s">
        <v>20</v>
      </c>
      <c r="C4" s="11" t="s">
        <v>3</v>
      </c>
      <c r="D4" s="11" t="s">
        <v>1</v>
      </c>
      <c r="E4" s="11" t="s">
        <v>5</v>
      </c>
      <c r="F4" s="11" t="s">
        <v>0</v>
      </c>
      <c r="G4" s="11" t="s">
        <v>6</v>
      </c>
      <c r="H4" s="11" t="s">
        <v>21</v>
      </c>
      <c r="I4" s="11" t="s">
        <v>8</v>
      </c>
      <c r="J4" s="11"/>
      <c r="K4" s="8"/>
    </row>
    <row r="5" spans="1:11" ht="15.6">
      <c r="A5" s="4"/>
      <c r="B5" s="4"/>
      <c r="C5" s="3">
        <v>0.84</v>
      </c>
      <c r="D5" s="3">
        <v>5402</v>
      </c>
      <c r="E5" s="3">
        <f>2.4*0.8</f>
        <v>1.92</v>
      </c>
      <c r="F5" s="5">
        <v>0.04</v>
      </c>
      <c r="G5" s="3">
        <v>0.04</v>
      </c>
      <c r="H5" s="3">
        <v>400</v>
      </c>
      <c r="I5" s="3" t="s">
        <v>38</v>
      </c>
      <c r="J5" s="9"/>
      <c r="K5" s="3"/>
    </row>
    <row r="6" spans="1:11" ht="15.6">
      <c r="A6" s="10">
        <v>3</v>
      </c>
      <c r="B6" s="10" t="s">
        <v>9</v>
      </c>
      <c r="C6" s="11" t="s">
        <v>1</v>
      </c>
      <c r="D6" s="11" t="s">
        <v>5</v>
      </c>
      <c r="E6" s="11" t="s">
        <v>10</v>
      </c>
      <c r="F6" s="11" t="s">
        <v>8</v>
      </c>
      <c r="G6" s="11"/>
      <c r="H6" s="11"/>
      <c r="I6" s="11"/>
      <c r="J6" s="11"/>
      <c r="K6" s="8"/>
    </row>
    <row r="7" spans="1:11" ht="15.6">
      <c r="A7" s="4"/>
      <c r="B7" s="4"/>
      <c r="C7" s="3">
        <v>5402</v>
      </c>
      <c r="D7" s="18">
        <f>F3</f>
        <v>1.44</v>
      </c>
      <c r="E7" s="3">
        <v>30.414200000000001</v>
      </c>
      <c r="F7" s="5" t="s">
        <v>9</v>
      </c>
      <c r="G7" s="3"/>
      <c r="H7" s="3"/>
      <c r="I7" s="3"/>
      <c r="J7" s="9"/>
      <c r="K7" s="3"/>
    </row>
    <row r="8" spans="1:11" s="14" customFormat="1" ht="15.6">
      <c r="A8" s="10">
        <v>4</v>
      </c>
      <c r="B8" s="12" t="s">
        <v>11</v>
      </c>
      <c r="C8" s="13" t="s">
        <v>3</v>
      </c>
      <c r="D8" s="13" t="s">
        <v>1</v>
      </c>
      <c r="E8" s="13" t="s">
        <v>12</v>
      </c>
      <c r="F8" s="13" t="s">
        <v>13</v>
      </c>
      <c r="G8" s="13" t="s">
        <v>4</v>
      </c>
      <c r="H8" s="13" t="s">
        <v>14</v>
      </c>
      <c r="I8" s="13" t="s">
        <v>15</v>
      </c>
      <c r="J8" s="13" t="s">
        <v>16</v>
      </c>
      <c r="K8" s="13" t="s">
        <v>8</v>
      </c>
    </row>
    <row r="9" spans="1:11" ht="15.6">
      <c r="A9" s="4"/>
      <c r="B9" s="4"/>
      <c r="C9" s="3">
        <v>1</v>
      </c>
      <c r="D9" s="3">
        <v>15000</v>
      </c>
      <c r="E9" s="18">
        <v>0.20569999999999999</v>
      </c>
      <c r="F9" s="3">
        <v>1</v>
      </c>
      <c r="G9" s="3" t="s">
        <v>25</v>
      </c>
      <c r="H9" s="3">
        <v>1.62</v>
      </c>
      <c r="I9" s="3">
        <v>0</v>
      </c>
      <c r="J9" s="3">
        <f>0.02</f>
        <v>0.02</v>
      </c>
      <c r="K9" s="3" t="s">
        <v>39</v>
      </c>
    </row>
    <row r="10" spans="1:11" s="14" customFormat="1" ht="15.6">
      <c r="A10" s="10">
        <v>5</v>
      </c>
      <c r="B10" s="12" t="s">
        <v>17</v>
      </c>
      <c r="C10" s="13" t="s">
        <v>3</v>
      </c>
      <c r="D10" s="13" t="s">
        <v>1</v>
      </c>
      <c r="E10" s="13" t="s">
        <v>12</v>
      </c>
      <c r="F10" s="13" t="s">
        <v>13</v>
      </c>
      <c r="G10" s="13" t="s">
        <v>4</v>
      </c>
      <c r="H10" s="13" t="s">
        <v>14</v>
      </c>
      <c r="I10" s="13" t="s">
        <v>15</v>
      </c>
      <c r="J10" s="13" t="s">
        <v>16</v>
      </c>
      <c r="K10" s="13" t="s">
        <v>8</v>
      </c>
    </row>
    <row r="11" spans="1:11" ht="15.6">
      <c r="A11" s="4"/>
      <c r="B11" s="4"/>
      <c r="C11" s="3">
        <v>1</v>
      </c>
      <c r="D11" s="3">
        <v>12000</v>
      </c>
      <c r="E11" s="18">
        <v>0.20569999999999999</v>
      </c>
      <c r="F11" s="3">
        <v>1</v>
      </c>
      <c r="G11" s="3" t="s">
        <v>25</v>
      </c>
      <c r="H11" s="3">
        <v>1.62</v>
      </c>
      <c r="I11" s="3">
        <v>0</v>
      </c>
      <c r="J11" s="3">
        <f>J9</f>
        <v>0.02</v>
      </c>
      <c r="K11" s="3" t="s">
        <v>40</v>
      </c>
    </row>
    <row r="12" spans="1:11" s="14" customFormat="1" ht="15.6">
      <c r="A12" s="10">
        <v>6</v>
      </c>
      <c r="B12" s="12" t="s">
        <v>18</v>
      </c>
      <c r="C12" s="13" t="s">
        <v>3</v>
      </c>
      <c r="D12" s="13" t="s">
        <v>1</v>
      </c>
      <c r="E12" s="13" t="s">
        <v>12</v>
      </c>
      <c r="F12" s="13" t="s">
        <v>13</v>
      </c>
      <c r="G12" s="13" t="s">
        <v>4</v>
      </c>
      <c r="H12" s="13" t="s">
        <v>14</v>
      </c>
      <c r="I12" s="13" t="s">
        <v>15</v>
      </c>
      <c r="J12" s="13" t="s">
        <v>16</v>
      </c>
      <c r="K12" s="13" t="s">
        <v>8</v>
      </c>
    </row>
    <row r="13" spans="1:11" ht="15.6">
      <c r="A13" s="4"/>
      <c r="B13" s="4"/>
      <c r="C13" s="3">
        <v>0.84</v>
      </c>
      <c r="D13" s="3">
        <v>12000</v>
      </c>
      <c r="E13" s="18">
        <v>0.20569999999999999</v>
      </c>
      <c r="F13" s="3">
        <v>1.7</v>
      </c>
      <c r="G13" s="3" t="s">
        <v>25</v>
      </c>
      <c r="H13" s="3">
        <v>0</v>
      </c>
      <c r="I13" s="3">
        <v>0</v>
      </c>
      <c r="J13" s="3">
        <f>J9</f>
        <v>0.02</v>
      </c>
      <c r="K13" s="3" t="s">
        <v>43</v>
      </c>
    </row>
    <row r="14" spans="1:11" s="14" customFormat="1" ht="15.6">
      <c r="A14" s="10">
        <v>7</v>
      </c>
      <c r="B14" s="12" t="s">
        <v>19</v>
      </c>
      <c r="C14" s="13" t="s">
        <v>3</v>
      </c>
      <c r="D14" s="13" t="s">
        <v>1</v>
      </c>
      <c r="E14" s="13" t="s">
        <v>12</v>
      </c>
      <c r="F14" s="13" t="s">
        <v>13</v>
      </c>
      <c r="G14" s="13" t="s">
        <v>4</v>
      </c>
      <c r="H14" s="13" t="s">
        <v>14</v>
      </c>
      <c r="I14" s="13" t="s">
        <v>15</v>
      </c>
      <c r="J14" s="13" t="s">
        <v>16</v>
      </c>
      <c r="K14" s="13" t="s">
        <v>8</v>
      </c>
    </row>
    <row r="15" spans="1:11" ht="15.6">
      <c r="A15" s="4"/>
      <c r="B15" s="4"/>
      <c r="C15" s="3">
        <v>1</v>
      </c>
      <c r="D15" s="3">
        <v>15000</v>
      </c>
      <c r="E15" s="18">
        <v>0.20569999999999999</v>
      </c>
      <c r="F15" s="3">
        <v>1</v>
      </c>
      <c r="G15" s="3" t="s">
        <v>25</v>
      </c>
      <c r="H15" s="3">
        <v>0</v>
      </c>
      <c r="I15" s="3">
        <v>0</v>
      </c>
      <c r="J15" s="3">
        <f>J9</f>
        <v>0.02</v>
      </c>
      <c r="K15" s="3" t="s">
        <v>42</v>
      </c>
    </row>
    <row r="16" spans="1:11" ht="15.6">
      <c r="A16" s="4"/>
      <c r="B16" s="1"/>
      <c r="C16" s="1"/>
    </row>
    <row r="17" spans="1:3" ht="15.6">
      <c r="A17" s="4"/>
    </row>
    <row r="18" spans="1:3" ht="15.6">
      <c r="A18" s="4"/>
    </row>
    <row r="19" spans="1:3" ht="15.6">
      <c r="A19" s="4"/>
      <c r="B19" s="1"/>
      <c r="C19" s="1"/>
    </row>
    <row r="20" spans="1:3">
      <c r="A20" s="15"/>
    </row>
    <row r="21" spans="1:3">
      <c r="A21" s="15"/>
    </row>
    <row r="22" spans="1:3" ht="15.6">
      <c r="A22" s="15"/>
      <c r="B22" s="1"/>
      <c r="C22" s="1"/>
    </row>
    <row r="23" spans="1:3">
      <c r="A23" s="15"/>
    </row>
    <row r="24" spans="1:3">
      <c r="A24" s="15"/>
    </row>
    <row r="25" spans="1:3">
      <c r="A25" s="15"/>
    </row>
    <row r="26" spans="1:3">
      <c r="A26" s="15"/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 ht="15.6" thickBot="1">
      <c r="A199" s="16"/>
    </row>
  </sheetData>
  <conditionalFormatting sqref="A21:A1048576">
    <cfRule type="expression" dxfId="4" priority="3">
      <formula>MOD(ROW(),2)=0</formula>
    </cfRule>
  </conditionalFormatting>
  <conditionalFormatting sqref="A1:B1">
    <cfRule type="expression" dxfId="3" priority="1">
      <formula>MOD(ROW(),2)=0</formula>
    </cfRule>
  </conditionalFormatting>
  <conditionalFormatting sqref="C6:J6 C7 E7:J7">
    <cfRule type="expression" dxfId="2" priority="4">
      <formula>MOD(ROW(),2)=0</formula>
    </cfRule>
  </conditionalFormatting>
  <conditionalFormatting sqref="C2:K5 C8:K8 C9:D9 F9:K9 C10:K10 C11:D11 F11:K11 C12:K12 C13:D13 F13:K13 C14:K14 C15:D15 F15:K15">
    <cfRule type="expression" dxfId="1" priority="5">
      <formula>MOD(ROW(),2)=0</formula>
    </cfRule>
  </conditionalFormatting>
  <conditionalFormatting sqref="D1:K1">
    <cfRule type="expression" dxfId="0" priority="2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7E47-C3F3-4A10-A8CF-CD205810DAF1}">
  <dimension ref="A1:K199"/>
  <sheetViews>
    <sheetView zoomScale="97" workbookViewId="0">
      <selection activeCell="E7" sqref="E7"/>
    </sheetView>
  </sheetViews>
  <sheetFormatPr defaultColWidth="10.796875" defaultRowHeight="15"/>
  <cols>
    <col min="1" max="1" width="18" style="2" customWidth="1"/>
    <col min="2" max="5" width="20.796875" style="2" customWidth="1"/>
    <col min="6" max="7" width="13.5" style="2" bestFit="1" customWidth="1"/>
    <col min="8" max="8" width="20.796875" style="2" customWidth="1"/>
    <col min="9" max="9" width="21.19921875" style="2" bestFit="1" customWidth="1"/>
    <col min="10" max="10" width="20.69921875" style="2" bestFit="1" customWidth="1"/>
    <col min="11" max="16384" width="10.796875" style="2"/>
  </cols>
  <sheetData>
    <row r="1" spans="1:11" ht="16.2" thickBot="1">
      <c r="A1" s="17" t="s">
        <v>26</v>
      </c>
      <c r="B1" s="17" t="s">
        <v>27</v>
      </c>
      <c r="C1" s="17" t="s">
        <v>28</v>
      </c>
      <c r="D1" s="17" t="s">
        <v>29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</row>
    <row r="2" spans="1:11" ht="15.6">
      <c r="A2" s="6">
        <v>1</v>
      </c>
      <c r="B2" s="6" t="s">
        <v>2</v>
      </c>
      <c r="C2" s="7" t="s">
        <v>3</v>
      </c>
      <c r="D2" s="7" t="s">
        <v>1</v>
      </c>
      <c r="E2" s="7" t="s">
        <v>4</v>
      </c>
      <c r="F2" s="7" t="s">
        <v>5</v>
      </c>
      <c r="G2" s="7" t="s">
        <v>0</v>
      </c>
      <c r="H2" s="7" t="s">
        <v>6</v>
      </c>
      <c r="I2" s="7" t="s">
        <v>7</v>
      </c>
      <c r="J2" s="7" t="s">
        <v>8</v>
      </c>
      <c r="K2" s="8"/>
    </row>
    <row r="3" spans="1:11" ht="15.6">
      <c r="A3" s="4"/>
      <c r="B3" s="4"/>
      <c r="C3" s="3">
        <v>1</v>
      </c>
      <c r="D3" s="3">
        <v>5402</v>
      </c>
      <c r="E3" s="3" t="s">
        <v>25</v>
      </c>
      <c r="F3" s="5">
        <f>2.4*0.6</f>
        <v>1.44</v>
      </c>
      <c r="G3" s="3">
        <v>0.04</v>
      </c>
      <c r="H3" s="3">
        <v>0.04</v>
      </c>
      <c r="I3" s="3">
        <v>400</v>
      </c>
      <c r="J3" s="9" t="s">
        <v>37</v>
      </c>
      <c r="K3" s="3"/>
    </row>
    <row r="4" spans="1:11" ht="15.6">
      <c r="A4" s="10">
        <v>2</v>
      </c>
      <c r="B4" s="10" t="s">
        <v>20</v>
      </c>
      <c r="C4" s="11" t="s">
        <v>3</v>
      </c>
      <c r="D4" s="11" t="s">
        <v>1</v>
      </c>
      <c r="E4" s="11" t="s">
        <v>5</v>
      </c>
      <c r="F4" s="11" t="s">
        <v>0</v>
      </c>
      <c r="G4" s="11" t="s">
        <v>6</v>
      </c>
      <c r="H4" s="11" t="s">
        <v>21</v>
      </c>
      <c r="I4" s="11" t="s">
        <v>8</v>
      </c>
      <c r="J4" s="11"/>
      <c r="K4" s="8"/>
    </row>
    <row r="5" spans="1:11" ht="15.6">
      <c r="A5" s="4"/>
      <c r="B5" s="4"/>
      <c r="C5" s="3">
        <v>1</v>
      </c>
      <c r="D5" s="3">
        <v>5402</v>
      </c>
      <c r="E5" s="3">
        <f>2.4*0.8</f>
        <v>1.92</v>
      </c>
      <c r="F5" s="5">
        <v>0.04</v>
      </c>
      <c r="G5" s="3">
        <v>0.04</v>
      </c>
      <c r="H5" s="3">
        <v>400</v>
      </c>
      <c r="I5" s="3" t="s">
        <v>38</v>
      </c>
      <c r="J5" s="9"/>
      <c r="K5" s="3"/>
    </row>
    <row r="6" spans="1:11" ht="15.6">
      <c r="A6" s="10">
        <v>3</v>
      </c>
      <c r="B6" s="10" t="s">
        <v>9</v>
      </c>
      <c r="C6" s="11" t="s">
        <v>1</v>
      </c>
      <c r="D6" s="11" t="s">
        <v>5</v>
      </c>
      <c r="E6" s="11" t="s">
        <v>10</v>
      </c>
      <c r="F6" s="11" t="s">
        <v>8</v>
      </c>
      <c r="G6" s="11"/>
      <c r="H6" s="11"/>
      <c r="I6" s="11"/>
      <c r="J6" s="11"/>
      <c r="K6" s="8"/>
    </row>
    <row r="7" spans="1:11" ht="15.6">
      <c r="A7" s="4"/>
      <c r="B7" s="4"/>
      <c r="C7" s="3">
        <v>5402</v>
      </c>
      <c r="D7" s="18">
        <v>0.19450000000000001</v>
      </c>
      <c r="E7" s="3">
        <v>30.414200000000001</v>
      </c>
      <c r="F7" s="5" t="s">
        <v>9</v>
      </c>
      <c r="G7" s="3"/>
      <c r="H7" s="3"/>
      <c r="I7" s="3"/>
      <c r="J7" s="9"/>
      <c r="K7" s="3"/>
    </row>
    <row r="8" spans="1:11" s="14" customFormat="1" ht="15.6">
      <c r="A8" s="10">
        <v>4</v>
      </c>
      <c r="B8" s="12" t="s">
        <v>11</v>
      </c>
      <c r="C8" s="13" t="s">
        <v>3</v>
      </c>
      <c r="D8" s="13" t="s">
        <v>1</v>
      </c>
      <c r="E8" s="13" t="s">
        <v>12</v>
      </c>
      <c r="F8" s="13" t="s">
        <v>13</v>
      </c>
      <c r="G8" s="13" t="s">
        <v>4</v>
      </c>
      <c r="H8" s="13" t="s">
        <v>14</v>
      </c>
      <c r="I8" s="13" t="s">
        <v>15</v>
      </c>
      <c r="J8" s="13" t="s">
        <v>16</v>
      </c>
      <c r="K8" s="13" t="s">
        <v>8</v>
      </c>
    </row>
    <row r="9" spans="1:11" ht="15.6">
      <c r="A9" s="4"/>
      <c r="B9" s="4"/>
      <c r="C9" s="3">
        <v>1</v>
      </c>
      <c r="D9" s="3">
        <v>15000</v>
      </c>
      <c r="E9" s="18">
        <v>0.20569999999999999</v>
      </c>
      <c r="F9" s="3">
        <v>1</v>
      </c>
      <c r="G9" s="3" t="s">
        <v>25</v>
      </c>
      <c r="H9" s="3">
        <v>1.62</v>
      </c>
      <c r="I9" s="3">
        <v>0</v>
      </c>
      <c r="J9" s="3">
        <f>0.02</f>
        <v>0.02</v>
      </c>
      <c r="K9" s="3" t="s">
        <v>39</v>
      </c>
    </row>
    <row r="10" spans="1:11" s="14" customFormat="1" ht="15.6">
      <c r="A10" s="10">
        <v>5</v>
      </c>
      <c r="B10" s="12" t="s">
        <v>17</v>
      </c>
      <c r="C10" s="13" t="s">
        <v>3</v>
      </c>
      <c r="D10" s="13" t="s">
        <v>1</v>
      </c>
      <c r="E10" s="13" t="s">
        <v>12</v>
      </c>
      <c r="F10" s="13" t="s">
        <v>13</v>
      </c>
      <c r="G10" s="13" t="s">
        <v>4</v>
      </c>
      <c r="H10" s="13" t="s">
        <v>14</v>
      </c>
      <c r="I10" s="13" t="s">
        <v>15</v>
      </c>
      <c r="J10" s="13" t="s">
        <v>16</v>
      </c>
      <c r="K10" s="13" t="s">
        <v>8</v>
      </c>
    </row>
    <row r="11" spans="1:11" ht="15.6">
      <c r="A11" s="4"/>
      <c r="B11" s="4"/>
      <c r="C11" s="3">
        <v>1</v>
      </c>
      <c r="D11" s="3">
        <v>12000</v>
      </c>
      <c r="E11" s="18">
        <v>0.20569999999999999</v>
      </c>
      <c r="F11" s="3">
        <v>1</v>
      </c>
      <c r="G11" s="3" t="s">
        <v>25</v>
      </c>
      <c r="H11" s="3">
        <v>1.62</v>
      </c>
      <c r="I11" s="3">
        <v>0</v>
      </c>
      <c r="J11" s="3">
        <f>J9</f>
        <v>0.02</v>
      </c>
      <c r="K11" s="3" t="s">
        <v>40</v>
      </c>
    </row>
    <row r="12" spans="1:11" s="14" customFormat="1" ht="15.6">
      <c r="A12" s="10">
        <v>6</v>
      </c>
      <c r="B12" s="12" t="s">
        <v>18</v>
      </c>
      <c r="C12" s="13" t="s">
        <v>3</v>
      </c>
      <c r="D12" s="13" t="s">
        <v>1</v>
      </c>
      <c r="E12" s="13" t="s">
        <v>12</v>
      </c>
      <c r="F12" s="13" t="s">
        <v>13</v>
      </c>
      <c r="G12" s="13" t="s">
        <v>4</v>
      </c>
      <c r="H12" s="13" t="s">
        <v>14</v>
      </c>
      <c r="I12" s="13" t="s">
        <v>15</v>
      </c>
      <c r="J12" s="13" t="s">
        <v>16</v>
      </c>
      <c r="K12" s="13" t="s">
        <v>8</v>
      </c>
    </row>
    <row r="13" spans="1:11" ht="15.6">
      <c r="A13" s="4"/>
      <c r="B13" s="4"/>
      <c r="C13" s="3">
        <v>0.84</v>
      </c>
      <c r="D13" s="3">
        <v>12000</v>
      </c>
      <c r="E13" s="18">
        <v>0.20569999999999999</v>
      </c>
      <c r="F13" s="3">
        <v>1.7</v>
      </c>
      <c r="G13" s="3" t="s">
        <v>25</v>
      </c>
      <c r="H13" s="3">
        <v>0</v>
      </c>
      <c r="I13" s="3">
        <v>0</v>
      </c>
      <c r="J13" s="3">
        <f>J9</f>
        <v>0.02</v>
      </c>
      <c r="K13" s="3" t="s">
        <v>41</v>
      </c>
    </row>
    <row r="14" spans="1:11" s="14" customFormat="1" ht="15.6">
      <c r="A14" s="10">
        <v>7</v>
      </c>
      <c r="B14" s="12" t="s">
        <v>19</v>
      </c>
      <c r="C14" s="13" t="s">
        <v>3</v>
      </c>
      <c r="D14" s="13" t="s">
        <v>1</v>
      </c>
      <c r="E14" s="13" t="s">
        <v>12</v>
      </c>
      <c r="F14" s="13" t="s">
        <v>13</v>
      </c>
      <c r="G14" s="13" t="s">
        <v>4</v>
      </c>
      <c r="H14" s="13" t="s">
        <v>14</v>
      </c>
      <c r="I14" s="13" t="s">
        <v>15</v>
      </c>
      <c r="J14" s="13" t="s">
        <v>16</v>
      </c>
      <c r="K14" s="13" t="s">
        <v>8</v>
      </c>
    </row>
    <row r="15" spans="1:11" ht="15.6">
      <c r="A15" s="4"/>
      <c r="B15" s="4"/>
      <c r="C15" s="3">
        <v>1</v>
      </c>
      <c r="D15" s="3">
        <v>15000</v>
      </c>
      <c r="E15" s="18">
        <v>0.20569999999999999</v>
      </c>
      <c r="F15" s="3">
        <v>1</v>
      </c>
      <c r="G15" s="3" t="s">
        <v>25</v>
      </c>
      <c r="H15" s="3">
        <v>0</v>
      </c>
      <c r="I15" s="3">
        <v>0</v>
      </c>
      <c r="J15" s="3">
        <f>J9</f>
        <v>0.02</v>
      </c>
      <c r="K15" s="3" t="s">
        <v>42</v>
      </c>
    </row>
    <row r="16" spans="1:11" ht="15.6">
      <c r="A16" s="4"/>
      <c r="B16" s="1"/>
      <c r="C16" s="1"/>
    </row>
    <row r="17" spans="1:3" ht="15.6">
      <c r="A17" s="4"/>
    </row>
    <row r="18" spans="1:3" ht="15.6">
      <c r="A18" s="4"/>
    </row>
    <row r="19" spans="1:3" ht="15.6">
      <c r="A19" s="4"/>
      <c r="B19" s="1"/>
      <c r="C19" s="1"/>
    </row>
    <row r="20" spans="1:3">
      <c r="A20" s="15"/>
    </row>
    <row r="21" spans="1:3">
      <c r="A21" s="15"/>
    </row>
    <row r="22" spans="1:3" ht="15.6">
      <c r="A22" s="15"/>
      <c r="B22" s="1"/>
      <c r="C22" s="1"/>
    </row>
    <row r="23" spans="1:3">
      <c r="A23" s="15"/>
    </row>
    <row r="24" spans="1:3">
      <c r="A24" s="15"/>
    </row>
    <row r="25" spans="1:3">
      <c r="A25" s="15"/>
    </row>
    <row r="26" spans="1:3">
      <c r="A26" s="15"/>
    </row>
    <row r="27" spans="1:3">
      <c r="A27" s="15"/>
    </row>
    <row r="28" spans="1:3">
      <c r="A28" s="15"/>
    </row>
    <row r="29" spans="1:3">
      <c r="A29" s="15"/>
    </row>
    <row r="30" spans="1:3">
      <c r="A30" s="15"/>
    </row>
    <row r="31" spans="1:3">
      <c r="A31" s="15"/>
    </row>
    <row r="32" spans="1:3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 ht="15.6" thickBot="1">
      <c r="A199" s="16"/>
    </row>
  </sheetData>
  <conditionalFormatting sqref="A21:A1048576">
    <cfRule type="expression" dxfId="9" priority="3">
      <formula>MOD(ROW(),2)=0</formula>
    </cfRule>
  </conditionalFormatting>
  <conditionalFormatting sqref="A1:B1">
    <cfRule type="expression" dxfId="8" priority="1">
      <formula>MOD(ROW(),2)=0</formula>
    </cfRule>
  </conditionalFormatting>
  <conditionalFormatting sqref="C6:J6 C7 E7:J7">
    <cfRule type="expression" dxfId="7" priority="4">
      <formula>MOD(ROW(),2)=0</formula>
    </cfRule>
  </conditionalFormatting>
  <conditionalFormatting sqref="C2:K5 C8:K8 C9:D9 F9:K9 C10:K10 C11:D11 F11:K11 C12:K12 C13:D13 F13:K13 C14:K14 C15:D15 F15:K15">
    <cfRule type="expression" dxfId="6" priority="5">
      <formula>MOD(ROW(),2)=0</formula>
    </cfRule>
  </conditionalFormatting>
  <conditionalFormatting sqref="D1:K1">
    <cfRule type="expression" dxfId="5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Test Case 1</vt:lpstr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2026-09-13T18:57:12Z</dcterms:modified>
</cp:coreProperties>
</file>