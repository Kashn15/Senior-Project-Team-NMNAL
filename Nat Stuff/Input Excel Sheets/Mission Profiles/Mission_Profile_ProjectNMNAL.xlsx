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ES-AircraftDesignToolbox/MAIN/Input Excel Sheets/Mission Profiles/"/>
    </mc:Choice>
  </mc:AlternateContent>
  <xr:revisionPtr revIDLastSave="125" documentId="13_ncr:1_{7F03FA73-868E-FF44-83A6-FB5542F8BA1C}" xr6:coauthVersionLast="47" xr6:coauthVersionMax="47" xr10:uidLastSave="{0CC56ECD-8598-4125-BF25-6BD3083CBAA2}"/>
  <bookViews>
    <workbookView xWindow="-26340" yWindow="645" windowWidth="20820" windowHeight="9885" activeTab="1" xr2:uid="{AC12A90C-16A5-0547-A6DB-57534C200D25}"/>
  </bookViews>
  <sheets>
    <sheet name="Templates" sheetId="2" r:id="rId1"/>
    <sheet name="Test Case 1" sheetId="15" r:id="rId2"/>
    <sheet name="Test 1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5" l="1"/>
  <c r="E9" i="15"/>
  <c r="C15" i="15"/>
  <c r="D12" i="14"/>
  <c r="D8" i="14"/>
  <c r="D10" i="14" s="1"/>
  <c r="B20" i="14"/>
  <c r="B16" i="14"/>
</calcChain>
</file>

<file path=xl/sharedStrings.xml><?xml version="1.0" encoding="utf-8"?>
<sst xmlns="http://schemas.openxmlformats.org/spreadsheetml/2006/main" count="105" uniqueCount="40">
  <si>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</si>
  <si>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</si>
  <si>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</si>
  <si>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</si>
  <si>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</si>
  <si>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</si>
  <si>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</si>
  <si>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</si>
  <si>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</si>
  <si>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</si>
  <si>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</si>
  <si>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</si>
  <si>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</si>
  <si>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</si>
  <si>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Startup/Taxi</t>
  </si>
  <si>
    <t>Weight Fraction</t>
  </si>
  <si>
    <t>Range [nm]</t>
  </si>
  <si>
    <t>Descent</t>
  </si>
  <si>
    <t>Landing</t>
  </si>
  <si>
    <t>Drop</t>
  </si>
  <si>
    <t>Payload Dropped [lbs]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</si>
  <si>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</si>
  <si>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</si>
  <si>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</si>
  <si>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</si>
  <si>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</si>
  <si>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</si>
  <si>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</si>
  <si>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>Cruise 1</t>
  </si>
  <si>
    <t>Cruise 2</t>
  </si>
  <si>
    <t>Segment #</t>
  </si>
  <si>
    <t>Segment Type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</si>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</sst>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</font>
    <font>
      <sz val="10"/>
      <color theme="1"/>
      <name val="Consolas"/>
      <family val="3"/>
    </font>
    <font>
      <b/>
      <sz val="12"/>
      <color theme="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2" borderId="1" xfId="0" applyFont="1" applyFill="1" applyBorder="1"/>
    <xf numFmtId="0" fontId="5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5" fillId="3" borderId="1" xfId="0" applyFont="1" applyFill="1" applyBorder="1"/>
    <xf numFmtId="0" fontId="6" fillId="0" borderId="0" xfId="0" applyFont="1" applyAlignment="1">
      <alignment horizontal="left" vertical="center"/>
    </xf>
    <xf numFmtId="0" fontId="2" fillId="5" borderId="0" xfId="0" applyFont="1" applyFill="1"/>
    <xf numFmtId="0" fontId="2" fillId="3" borderId="0" xfId="0" applyFont="1" applyFill="1"/>
    <xf numFmtId="0" fontId="2" fillId="5" borderId="1" xfId="0" applyFont="1" applyFill="1" applyBorder="1"/>
    <xf numFmtId="0" fontId="7" fillId="6" borderId="2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1" fillId="2" borderId="4" xfId="0" applyFont="1" applyFill="1" applyBorder="1"/>
  </cellXfs>
  <cellStyles count="1">
    <cellStyle name="Normal" xfId="0" builtinId="0"/>
  </cellStyles>
  <dxfs count="10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3"/>
  <sheetViews>
    <sheetView zoomScale="115" workbookViewId="0">
      <selection activeCell="A25" sqref="A25"/>
    </sheetView>
  </sheetViews>
  <sheetFormatPr defaultColWidth="10.796875" defaultRowHeight="15"/>
  <cols>
    <col min="1" max="1" width="20.796875" style="1" customWidth="1"/>
    <col min="2" max="2" width="23.796875" style="1" customWidth="1"/>
    <col min="3" max="4" width="20.796875" style="1" customWidth="1"/>
    <col min="5" max="5" width="10.796875" style="1"/>
    <col min="6" max="6" width="15" style="1" customWidth="1"/>
    <col min="7" max="16384" width="10.796875" style="1"/>
  </cols>
  <sheetData>
    <row r="1" spans="1:6" ht="15.6">
      <c r="A1" s="10" t="s">
        <v>14</v>
      </c>
      <c r="B1" s="7" t="s">
        <v>15</v>
      </c>
      <c r="C1" s="5"/>
      <c r="D1" s="5"/>
      <c r="E1" s="5"/>
      <c r="F1" s="5"/>
    </row>
    <row r="2" spans="1:6" ht="15.6">
      <c r="A2" s="3"/>
      <c r="B2" s="8">
        <v>0.995</v>
      </c>
      <c r="C2" s="2"/>
      <c r="D2" s="2"/>
      <c r="E2" s="2"/>
      <c r="F2" s="2"/>
    </row>
    <row r="3" spans="1:6" ht="15.6">
      <c r="A3" s="10"/>
      <c r="B3" s="5"/>
      <c r="C3" s="5"/>
      <c r="D3" s="5"/>
      <c r="E3" s="5"/>
      <c r="F3" s="5"/>
    </row>
    <row r="4" spans="1:6" ht="15.6">
      <c r="A4" s="3" t="s">
        <v>0</v>
      </c>
      <c r="B4" s="2" t="s">
        <v>1</v>
      </c>
      <c r="C4" s="2" t="s">
        <v>2</v>
      </c>
      <c r="D4" s="2" t="s">
        <v>3</v>
      </c>
      <c r="E4" s="2" t="s">
        <v>21</v>
      </c>
      <c r="F4" s="2"/>
    </row>
    <row r="5" spans="1:6" ht="15.6">
      <c r="A5" s="10"/>
      <c r="B5" s="5">
        <v>0</v>
      </c>
      <c r="C5" s="5">
        <v>1.5</v>
      </c>
      <c r="D5" s="5">
        <v>0.05</v>
      </c>
      <c r="E5" s="5">
        <v>0</v>
      </c>
      <c r="F5" s="5"/>
    </row>
    <row r="6" spans="1:6" ht="15.6">
      <c r="A6" s="3"/>
      <c r="B6" s="2"/>
      <c r="C6" s="2"/>
      <c r="D6" s="2"/>
      <c r="E6" s="2"/>
      <c r="F6" s="2"/>
    </row>
    <row r="7" spans="1:6" s="4" customFormat="1" ht="15.6">
      <c r="A7" s="7" t="s">
        <v>4</v>
      </c>
      <c r="B7" s="7" t="s">
        <v>8</v>
      </c>
      <c r="C7" s="7" t="s">
        <v>9</v>
      </c>
      <c r="D7" s="7" t="s">
        <v>6</v>
      </c>
      <c r="E7" s="7" t="s">
        <v>7</v>
      </c>
      <c r="F7" s="7" t="s">
        <v>22</v>
      </c>
    </row>
    <row r="8" spans="1:6" s="6" customFormat="1">
      <c r="A8" s="9"/>
      <c r="B8" s="9">
        <v>0</v>
      </c>
      <c r="C8" s="9">
        <v>10000</v>
      </c>
      <c r="D8" s="9">
        <v>0.1</v>
      </c>
      <c r="E8" s="9">
        <v>0.4</v>
      </c>
      <c r="F8" s="9">
        <v>0</v>
      </c>
    </row>
    <row r="9" spans="1:6" ht="15.6">
      <c r="A9" s="10"/>
      <c r="B9" s="5"/>
      <c r="C9" s="5"/>
      <c r="D9" s="5"/>
      <c r="E9" s="5"/>
      <c r="F9" s="5"/>
    </row>
    <row r="10" spans="1:6" ht="15.6">
      <c r="A10" s="3" t="s">
        <v>10</v>
      </c>
      <c r="B10" s="2" t="s">
        <v>5</v>
      </c>
      <c r="C10" s="2" t="s">
        <v>16</v>
      </c>
      <c r="D10" s="2" t="s">
        <v>11</v>
      </c>
      <c r="E10" s="2" t="s">
        <v>23</v>
      </c>
      <c r="F10" s="2"/>
    </row>
    <row r="11" spans="1:6" ht="15.6">
      <c r="A11" s="10"/>
      <c r="B11" s="5">
        <v>38000</v>
      </c>
      <c r="C11" s="5">
        <v>2000</v>
      </c>
      <c r="D11" s="5">
        <v>0.84</v>
      </c>
      <c r="E11" s="5">
        <v>0</v>
      </c>
      <c r="F11" s="5"/>
    </row>
    <row r="12" spans="1:6" ht="15.6">
      <c r="A12" s="3"/>
      <c r="B12" s="2"/>
      <c r="C12" s="2"/>
      <c r="D12" s="2"/>
      <c r="E12" s="2"/>
      <c r="F12" s="2"/>
    </row>
    <row r="13" spans="1:6" s="4" customFormat="1" ht="15.6">
      <c r="A13" s="7" t="s">
        <v>12</v>
      </c>
      <c r="B13" s="7" t="s">
        <v>5</v>
      </c>
      <c r="C13" s="7" t="s">
        <v>13</v>
      </c>
      <c r="D13" s="7" t="s">
        <v>24</v>
      </c>
      <c r="E13" s="7"/>
      <c r="F13" s="7"/>
    </row>
    <row r="14" spans="1:6" ht="15.6">
      <c r="A14" s="3"/>
      <c r="B14" s="2">
        <v>30000</v>
      </c>
      <c r="C14" s="2">
        <v>0.25</v>
      </c>
      <c r="D14" s="2">
        <v>0</v>
      </c>
      <c r="E14" s="2"/>
      <c r="F14" s="2"/>
    </row>
    <row r="15" spans="1:6" ht="15.6">
      <c r="A15" s="10"/>
      <c r="B15" s="5"/>
      <c r="C15" s="5"/>
      <c r="D15" s="5"/>
      <c r="E15" s="5"/>
      <c r="F15" s="5"/>
    </row>
    <row r="16" spans="1:6" ht="15.6">
      <c r="A16" s="3" t="s">
        <v>17</v>
      </c>
      <c r="B16" s="2" t="s">
        <v>15</v>
      </c>
      <c r="C16" s="2"/>
      <c r="D16" s="2"/>
      <c r="E16" s="2"/>
      <c r="F16" s="2"/>
    </row>
    <row r="17" spans="1:6" ht="15.6">
      <c r="A17" s="10"/>
      <c r="B17" s="5">
        <v>0.99</v>
      </c>
      <c r="C17" s="5"/>
      <c r="D17" s="5"/>
      <c r="E17" s="5"/>
      <c r="F17" s="5"/>
    </row>
    <row r="18" spans="1:6" ht="15.6">
      <c r="A18" s="10" t="s">
        <v>18</v>
      </c>
      <c r="B18" s="7" t="s">
        <v>15</v>
      </c>
      <c r="C18" s="5"/>
      <c r="D18" s="5"/>
      <c r="E18" s="5"/>
      <c r="F18" s="5"/>
    </row>
    <row r="19" spans="1:6" ht="15.6">
      <c r="A19" s="2"/>
      <c r="B19" s="8">
        <v>0.999</v>
      </c>
      <c r="C19" s="2"/>
      <c r="D19" s="2"/>
      <c r="E19" s="2"/>
      <c r="F19" s="2"/>
    </row>
    <row r="20" spans="1:6" ht="15.6">
      <c r="A20" s="10" t="s">
        <v>19</v>
      </c>
      <c r="B20" s="11" t="s">
        <v>20</v>
      </c>
      <c r="C20" s="5"/>
      <c r="D20" s="5"/>
      <c r="E20" s="5"/>
      <c r="F20" s="5"/>
    </row>
    <row r="21" spans="1:6" ht="15.6">
      <c r="A21" s="3"/>
      <c r="B21" s="2">
        <v>1000</v>
      </c>
      <c r="C21" s="2"/>
      <c r="D21" s="2"/>
      <c r="E21" s="2"/>
      <c r="F21" s="2"/>
    </row>
    <row r="22" spans="1:6" s="18" customFormat="1" ht="15.6">
      <c r="A22" s="12" t="s">
        <v>25</v>
      </c>
      <c r="B22" s="12" t="s">
        <v>1</v>
      </c>
      <c r="C22" s="12" t="s">
        <v>26</v>
      </c>
      <c r="D22" s="12" t="s">
        <v>27</v>
      </c>
      <c r="E22" s="13"/>
      <c r="F22" s="13"/>
    </row>
    <row r="23" spans="1:6" s="18" customFormat="1">
      <c r="A23" s="20"/>
      <c r="B23" s="20">
        <v>0</v>
      </c>
      <c r="C23" s="20">
        <v>20</v>
      </c>
      <c r="D23" s="20">
        <v>250</v>
      </c>
      <c r="E23" s="20"/>
      <c r="F23" s="20"/>
    </row>
  </sheetData>
  <conditionalFormatting sqref="B1:F12 B20:F21">
    <cfRule type="expression" dxfId="9" priority="2">
      <formula>MOD(ROW(),2)=0</formula>
    </cfRule>
  </conditionalFormatting>
  <conditionalFormatting sqref="F13:F19 B15:E19 A22:E23">
    <cfRule type="expression" dxfId="8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3E41-EB09-4928-92CF-44B6F30A14EC}">
  <dimension ref="A1:J16"/>
  <sheetViews>
    <sheetView tabSelected="1" zoomScale="115" workbookViewId="0">
      <selection activeCell="F7" sqref="F7"/>
    </sheetView>
  </sheetViews>
  <sheetFormatPr defaultColWidth="10.796875" defaultRowHeight="15"/>
  <cols>
    <col min="1" max="1" width="20.796875" style="1" customWidth="1"/>
    <col min="2" max="2" width="23.796875" style="1" customWidth="1"/>
    <col min="3" max="4" width="20.796875" style="1" customWidth="1"/>
    <col min="5" max="5" width="10.796875" style="1"/>
    <col min="6" max="6" width="15" style="1" customWidth="1"/>
    <col min="7" max="16384" width="10.796875" style="1"/>
  </cols>
  <sheetData>
    <row r="1" spans="1:10" ht="16.2" thickBot="1">
      <c r="A1" s="21" t="s">
        <v>30</v>
      </c>
      <c r="B1" s="21" t="s">
        <v>31</v>
      </c>
      <c r="C1" s="21" t="s">
        <v>32</v>
      </c>
      <c r="D1" s="21" t="s">
        <v>33</v>
      </c>
      <c r="E1" s="21" t="s">
        <v>34</v>
      </c>
      <c r="F1" s="21" t="s">
        <v>35</v>
      </c>
      <c r="G1" s="21" t="s">
        <v>36</v>
      </c>
      <c r="H1" s="21" t="s">
        <v>37</v>
      </c>
      <c r="I1" s="21" t="s">
        <v>38</v>
      </c>
      <c r="J1" s="21" t="s">
        <v>39</v>
      </c>
    </row>
    <row r="2" spans="1:10" ht="15.6">
      <c r="A2" s="22">
        <v>1</v>
      </c>
      <c r="B2" s="10" t="s">
        <v>14</v>
      </c>
      <c r="C2" s="7" t="s">
        <v>15</v>
      </c>
      <c r="D2" s="5"/>
      <c r="E2" s="5"/>
      <c r="F2" s="5"/>
      <c r="G2" s="5"/>
    </row>
    <row r="3" spans="1:10" s="19" customFormat="1" ht="15.6">
      <c r="A3" s="23"/>
      <c r="B3" s="3"/>
      <c r="C3" s="8">
        <v>0.95</v>
      </c>
      <c r="D3" s="2"/>
      <c r="E3" s="2"/>
      <c r="F3" s="2"/>
      <c r="G3" s="2"/>
      <c r="H3" s="1"/>
      <c r="I3" s="1"/>
      <c r="J3" s="1"/>
    </row>
    <row r="4" spans="1:10" s="18" customFormat="1" ht="15.6">
      <c r="A4" s="24">
        <v>2</v>
      </c>
      <c r="B4" s="12" t="s">
        <v>0</v>
      </c>
      <c r="C4" s="16" t="s">
        <v>1</v>
      </c>
      <c r="D4" s="16" t="s">
        <v>2</v>
      </c>
      <c r="E4" s="16" t="s">
        <v>3</v>
      </c>
      <c r="F4" s="16" t="s">
        <v>21</v>
      </c>
      <c r="G4" s="13"/>
      <c r="H4" s="19"/>
      <c r="I4" s="19"/>
      <c r="J4" s="19"/>
    </row>
    <row r="5" spans="1:10" s="4" customFormat="1" ht="15.6">
      <c r="A5" s="23"/>
      <c r="B5" s="14"/>
      <c r="C5" s="15">
        <v>5402</v>
      </c>
      <c r="D5" s="15">
        <f>2.4*0.6</f>
        <v>1.44</v>
      </c>
      <c r="E5" s="15">
        <v>0.05</v>
      </c>
      <c r="F5" s="15">
        <v>0</v>
      </c>
      <c r="G5" s="15"/>
      <c r="H5" s="18"/>
      <c r="I5" s="18"/>
      <c r="J5" s="18"/>
    </row>
    <row r="6" spans="1:10" s="6" customFormat="1" ht="15.6">
      <c r="A6" s="24">
        <v>3</v>
      </c>
      <c r="B6" s="7" t="s">
        <v>4</v>
      </c>
      <c r="C6" s="7" t="s">
        <v>8</v>
      </c>
      <c r="D6" s="7" t="s">
        <v>9</v>
      </c>
      <c r="E6" s="7" t="s">
        <v>6</v>
      </c>
      <c r="F6" s="7" t="s">
        <v>7</v>
      </c>
      <c r="G6" s="7" t="s">
        <v>22</v>
      </c>
      <c r="H6" s="4"/>
      <c r="I6" s="4"/>
      <c r="J6" s="4"/>
    </row>
    <row r="7" spans="1:10" ht="15.6">
      <c r="A7" s="23"/>
      <c r="B7" s="9"/>
      <c r="C7" s="9">
        <v>5402</v>
      </c>
      <c r="D7" s="9">
        <v>5502</v>
      </c>
      <c r="E7" s="17">
        <v>9.8750000000000004E-2</v>
      </c>
      <c r="F7" s="9">
        <v>0.16889999999999999</v>
      </c>
      <c r="G7" s="9">
        <v>0</v>
      </c>
      <c r="H7" s="6"/>
      <c r="I7" s="6"/>
      <c r="J7" s="6"/>
    </row>
    <row r="8" spans="1:10" ht="15.6">
      <c r="A8" s="24">
        <v>4</v>
      </c>
      <c r="B8" s="12" t="s">
        <v>10</v>
      </c>
      <c r="C8" s="16" t="s">
        <v>5</v>
      </c>
      <c r="D8" s="16" t="s">
        <v>16</v>
      </c>
      <c r="E8" s="16" t="s">
        <v>11</v>
      </c>
      <c r="F8" s="16" t="s">
        <v>23</v>
      </c>
      <c r="G8" s="13"/>
    </row>
    <row r="9" spans="1:10" ht="15.6">
      <c r="A9" s="23"/>
      <c r="B9" s="14"/>
      <c r="C9" s="15">
        <v>5502</v>
      </c>
      <c r="D9" s="15">
        <v>8.2289400000000006E-3</v>
      </c>
      <c r="E9" s="15">
        <f>F7</f>
        <v>0.16889999999999999</v>
      </c>
      <c r="F9" s="15">
        <v>0</v>
      </c>
      <c r="G9" s="15"/>
    </row>
    <row r="10" spans="1:10" ht="15.6">
      <c r="A10" s="24">
        <v>5</v>
      </c>
      <c r="B10" s="10" t="s">
        <v>19</v>
      </c>
      <c r="C10" s="11" t="s">
        <v>20</v>
      </c>
      <c r="D10" s="5"/>
      <c r="E10" s="5"/>
      <c r="F10" s="5"/>
      <c r="G10" s="5"/>
    </row>
    <row r="11" spans="1:10" ht="15.6">
      <c r="A11" s="23"/>
      <c r="B11" s="3"/>
      <c r="C11" s="2">
        <v>8.8184900000000006</v>
      </c>
      <c r="D11" s="2"/>
      <c r="E11" s="2"/>
      <c r="F11" s="2"/>
      <c r="G11" s="2"/>
    </row>
    <row r="12" spans="1:10" ht="15.6">
      <c r="A12" s="24">
        <v>6</v>
      </c>
      <c r="B12" s="12" t="s">
        <v>17</v>
      </c>
      <c r="C12" s="16" t="s">
        <v>15</v>
      </c>
      <c r="D12" s="13"/>
      <c r="E12" s="13"/>
      <c r="F12" s="13"/>
      <c r="G12" s="13"/>
    </row>
    <row r="13" spans="1:10" ht="15.6">
      <c r="A13" s="23"/>
      <c r="B13" s="14"/>
      <c r="C13" s="15">
        <v>0.84</v>
      </c>
      <c r="D13" s="15"/>
      <c r="E13" s="15"/>
      <c r="F13" s="15"/>
      <c r="G13" s="15"/>
    </row>
    <row r="14" spans="1:10" ht="15.6">
      <c r="A14" s="24">
        <v>7</v>
      </c>
      <c r="B14" s="10" t="s">
        <v>18</v>
      </c>
      <c r="C14" s="7" t="s">
        <v>15</v>
      </c>
      <c r="D14" s="5"/>
      <c r="E14" s="5"/>
      <c r="F14" s="5"/>
      <c r="G14" s="5"/>
    </row>
    <row r="15" spans="1:10" ht="15.6">
      <c r="A15" s="23"/>
      <c r="B15" s="2"/>
      <c r="C15" s="8">
        <f>C13</f>
        <v>0.84</v>
      </c>
      <c r="D15" s="2"/>
      <c r="E15" s="2"/>
      <c r="F15" s="2"/>
      <c r="G15" s="2"/>
    </row>
    <row r="16" spans="1:10" ht="15.6">
      <c r="A16" s="24"/>
    </row>
  </sheetData>
  <conditionalFormatting sqref="A1:B1 D1:J1">
    <cfRule type="expression" dxfId="7" priority="1">
      <formula>MOD(ROW(),2)=0</formula>
    </cfRule>
  </conditionalFormatting>
  <conditionalFormatting sqref="B2:F6 C2:G7 B7:C7">
    <cfRule type="expression" dxfId="6" priority="6">
      <formula>MOD(ROW(),2)=0</formula>
    </cfRule>
  </conditionalFormatting>
  <conditionalFormatting sqref="B8:G15">
    <cfRule type="expression" dxfId="5" priority="3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694D-8BC8-4CB6-B68B-8F650E130DF8}">
  <dimension ref="A1:F20"/>
  <sheetViews>
    <sheetView zoomScale="115" workbookViewId="0">
      <selection activeCell="A20" sqref="A6:XFD20"/>
    </sheetView>
  </sheetViews>
  <sheetFormatPr defaultColWidth="10.796875" defaultRowHeight="15"/>
  <cols>
    <col min="1" max="1" width="20.796875" style="1" customWidth="1"/>
    <col min="2" max="2" width="23.796875" style="1" customWidth="1"/>
    <col min="3" max="4" width="20.796875" style="1" customWidth="1"/>
    <col min="5" max="5" width="10.796875" style="1"/>
    <col min="6" max="6" width="15" style="1" customWidth="1"/>
    <col min="7" max="16384" width="10.796875" style="1"/>
  </cols>
  <sheetData>
    <row r="1" spans="1:6" ht="15.6">
      <c r="A1" s="10" t="s">
        <v>14</v>
      </c>
      <c r="B1" s="7" t="s">
        <v>15</v>
      </c>
      <c r="C1" s="5"/>
      <c r="D1" s="5"/>
      <c r="E1" s="5"/>
      <c r="F1" s="5"/>
    </row>
    <row r="2" spans="1:6" ht="15.6">
      <c r="A2" s="3"/>
      <c r="B2" s="8">
        <v>0.995</v>
      </c>
      <c r="C2" s="2"/>
      <c r="D2" s="2"/>
      <c r="E2" s="2"/>
      <c r="F2" s="2"/>
    </row>
    <row r="3" spans="1:6" ht="15.6">
      <c r="A3" s="3" t="s">
        <v>0</v>
      </c>
      <c r="B3" s="2" t="s">
        <v>1</v>
      </c>
      <c r="C3" s="2" t="s">
        <v>2</v>
      </c>
      <c r="D3" s="2" t="s">
        <v>3</v>
      </c>
      <c r="E3" s="2" t="s">
        <v>21</v>
      </c>
      <c r="F3" s="2"/>
    </row>
    <row r="4" spans="1:6" ht="15.6">
      <c r="A4" s="10"/>
      <c r="B4" s="5">
        <v>5402</v>
      </c>
      <c r="C4" s="5">
        <v>1.5</v>
      </c>
      <c r="D4" s="5">
        <v>0.05</v>
      </c>
      <c r="E4" s="5">
        <v>0</v>
      </c>
      <c r="F4" s="5"/>
    </row>
    <row r="5" spans="1:6" s="4" customFormat="1" ht="15.6">
      <c r="A5" s="7" t="s">
        <v>4</v>
      </c>
      <c r="B5" s="7" t="s">
        <v>8</v>
      </c>
      <c r="C5" s="7" t="s">
        <v>9</v>
      </c>
      <c r="D5" s="7" t="s">
        <v>6</v>
      </c>
      <c r="E5" s="7" t="s">
        <v>7</v>
      </c>
      <c r="F5" s="7" t="s">
        <v>22</v>
      </c>
    </row>
    <row r="6" spans="1:6" s="6" customFormat="1">
      <c r="A6" s="9"/>
      <c r="B6" s="9">
        <v>5402</v>
      </c>
      <c r="C6" s="9">
        <v>8000</v>
      </c>
      <c r="D6" s="17">
        <v>4.6899999999999997E-2</v>
      </c>
      <c r="E6" s="9">
        <v>0.16889999999999999</v>
      </c>
      <c r="F6" s="9">
        <v>0</v>
      </c>
    </row>
    <row r="7" spans="1:6" ht="15.6">
      <c r="A7" s="12" t="s">
        <v>28</v>
      </c>
      <c r="B7" s="16" t="s">
        <v>5</v>
      </c>
      <c r="C7" s="16" t="s">
        <v>16</v>
      </c>
      <c r="D7" s="16" t="s">
        <v>11</v>
      </c>
      <c r="E7" s="16" t="s">
        <v>23</v>
      </c>
      <c r="F7" s="13"/>
    </row>
    <row r="8" spans="1:6" ht="15.6">
      <c r="A8" s="14"/>
      <c r="B8" s="15">
        <v>8000</v>
      </c>
      <c r="C8" s="15">
        <v>3.2915800000000002E-2</v>
      </c>
      <c r="D8" s="15">
        <f>E6</f>
        <v>0.16889999999999999</v>
      </c>
      <c r="E8" s="15">
        <v>0</v>
      </c>
      <c r="F8" s="15"/>
    </row>
    <row r="9" spans="1:6" s="4" customFormat="1" ht="15.6">
      <c r="A9" s="7" t="s">
        <v>4</v>
      </c>
      <c r="B9" s="7" t="s">
        <v>8</v>
      </c>
      <c r="C9" s="7" t="s">
        <v>9</v>
      </c>
      <c r="D9" s="7" t="s">
        <v>6</v>
      </c>
      <c r="E9" s="7" t="s">
        <v>7</v>
      </c>
      <c r="F9" s="7" t="s">
        <v>22</v>
      </c>
    </row>
    <row r="10" spans="1:6" s="6" customFormat="1">
      <c r="A10" s="9"/>
      <c r="B10" s="9">
        <v>8000</v>
      </c>
      <c r="C10" s="9">
        <v>12000</v>
      </c>
      <c r="D10" s="9">
        <f>D8</f>
        <v>0.16889999999999999</v>
      </c>
      <c r="E10" s="17">
        <v>0.20569999999999999</v>
      </c>
      <c r="F10" s="9">
        <v>0</v>
      </c>
    </row>
    <row r="11" spans="1:6" s="6" customFormat="1" ht="15.6">
      <c r="A11" s="12" t="s">
        <v>29</v>
      </c>
      <c r="B11" s="16" t="s">
        <v>5</v>
      </c>
      <c r="C11" s="16" t="s">
        <v>16</v>
      </c>
      <c r="D11" s="16" t="s">
        <v>11</v>
      </c>
      <c r="E11" s="16" t="s">
        <v>23</v>
      </c>
      <c r="F11" s="16"/>
    </row>
    <row r="12" spans="1:6" s="6" customFormat="1" ht="15.6">
      <c r="A12" s="14"/>
      <c r="B12" s="15">
        <v>8000</v>
      </c>
      <c r="C12" s="15">
        <v>3.2915800000000002E-2</v>
      </c>
      <c r="D12" s="15">
        <f>E10</f>
        <v>0.20569999999999999</v>
      </c>
      <c r="E12" s="15">
        <v>0</v>
      </c>
      <c r="F12" s="15"/>
    </row>
    <row r="13" spans="1:6" ht="15.6">
      <c r="A13" s="7" t="s">
        <v>12</v>
      </c>
      <c r="B13" s="7" t="s">
        <v>5</v>
      </c>
      <c r="C13" s="7" t="s">
        <v>13</v>
      </c>
      <c r="D13" s="7" t="s">
        <v>24</v>
      </c>
      <c r="E13" s="7"/>
      <c r="F13" s="7"/>
    </row>
    <row r="14" spans="1:6" ht="15.6">
      <c r="A14" s="3"/>
      <c r="B14" s="2">
        <v>30000</v>
      </c>
      <c r="C14" s="2">
        <v>0.25</v>
      </c>
      <c r="D14" s="2">
        <v>0</v>
      </c>
      <c r="E14" s="2"/>
      <c r="F14" s="2"/>
    </row>
    <row r="15" spans="1:6" ht="15.6">
      <c r="A15" s="10" t="s">
        <v>19</v>
      </c>
      <c r="B15" s="11" t="s">
        <v>20</v>
      </c>
      <c r="C15" s="5"/>
      <c r="D15" s="5"/>
      <c r="E15" s="5"/>
      <c r="F15" s="5"/>
    </row>
    <row r="16" spans="1:6" ht="15.6">
      <c r="A16" s="3"/>
      <c r="B16" s="2">
        <f>4.4*2</f>
        <v>8.8000000000000007</v>
      </c>
      <c r="C16" s="2"/>
      <c r="D16" s="2"/>
      <c r="E16" s="2"/>
      <c r="F16" s="2"/>
    </row>
    <row r="17" spans="1:6" ht="15.6">
      <c r="A17" s="12" t="s">
        <v>17</v>
      </c>
      <c r="B17" s="13" t="s">
        <v>15</v>
      </c>
      <c r="C17" s="13"/>
      <c r="D17" s="13"/>
      <c r="E17" s="13"/>
      <c r="F17" s="13"/>
    </row>
    <row r="18" spans="1:6" ht="15.6">
      <c r="A18" s="14"/>
      <c r="B18" s="15">
        <v>0.84</v>
      </c>
      <c r="C18" s="15"/>
      <c r="D18" s="15"/>
      <c r="E18" s="15"/>
      <c r="F18" s="15"/>
    </row>
    <row r="19" spans="1:6" ht="15.6">
      <c r="A19" s="10" t="s">
        <v>18</v>
      </c>
      <c r="B19" s="7" t="s">
        <v>15</v>
      </c>
      <c r="C19" s="5"/>
      <c r="D19" s="5"/>
      <c r="E19" s="5"/>
      <c r="F19" s="5"/>
    </row>
    <row r="20" spans="1:6" ht="15.6">
      <c r="A20" s="2"/>
      <c r="B20" s="8">
        <f>B18</f>
        <v>0.84</v>
      </c>
      <c r="C20" s="2"/>
      <c r="D20" s="2"/>
      <c r="E20" s="2"/>
      <c r="F20" s="2"/>
    </row>
  </sheetData>
  <conditionalFormatting sqref="B1:F5 B6:C6 E6:F6">
    <cfRule type="expression" dxfId="4" priority="10">
      <formula>MOD(ROW(),2)=0</formula>
    </cfRule>
  </conditionalFormatting>
  <conditionalFormatting sqref="B7:F9 B10:D10 F10">
    <cfRule type="expression" dxfId="3" priority="8">
      <formula>MOD(ROW(),2)=0</formula>
    </cfRule>
  </conditionalFormatting>
  <conditionalFormatting sqref="B11:F12">
    <cfRule type="expression" dxfId="2" priority="1">
      <formula>MOD(ROW(),2)=0</formula>
    </cfRule>
  </conditionalFormatting>
  <conditionalFormatting sqref="B15:F20">
    <cfRule type="expression" dxfId="1" priority="3">
      <formula>MOD(ROW(),2)=0</formula>
    </cfRule>
  </conditionalFormatting>
  <conditionalFormatting sqref="F13:F14">
    <cfRule type="expression" dxfId="0" priority="6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Templates</vt:lpstr>
      <vt:lpstr>Test Case 1</vt:lpstr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2026-09-13T19:44:06Z</dcterms:modified>
</cp:coreProperties>
</file>