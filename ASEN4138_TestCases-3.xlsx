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o365coloradoedu-my.sharepoint.com/personal/aska7164_colorado_edu/Documents/Desktop/AES-AircraftDesignToolbox/MAIN/Input Excel Sheets/Design Configurations/"/>
    </mc:Choice>
  </mc:AlternateContent>
  <xr:revisionPtr revIDLastSave="12" documentId="13_ncr:1_{AF967D3A-6581-5D40-BFFA-E1DDAEB3102C}" xr6:coauthVersionLast="47" xr6:coauthVersionMax="47" xr10:uidLastSave="{E4C4C74E-6348-491B-BEBE-0D288FA3E086}"/>
  <bookViews>
    <workbookView xWindow="-28905" yWindow="-1830" windowWidth="14610" windowHeight="15585" firstSheet="1" activeTab="3" xr2:uid="{904FC4B5-3CDE-421B-8E98-23A2C72E8C1E}"/>
  </bookViews>
  <sheets>
    <sheet name="Variable Reference" sheetId="15" r:id="rId1"/>
    <sheet name="Main_Input" sheetId="4" r:id="rId2"/>
    <sheet name="Airfoil_Data" sheetId="5" r:id="rId3"/>
    <sheet name="Propulsion" sheetId="13" r:id="rId4"/>
    <sheet name="Lists" sheetId="14" r:id="rId5"/>
    <sheet name="Geometry Reference" sheetId="2" r:id="rId6"/>
  </sheets>
  <externalReferences>
    <externalReference r:id="rId7"/>
  </externalReferences>
  <definedNames>
    <definedName name="MATERIALS" localSheetId="0">#REF!</definedName>
    <definedName name="MATERIAL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7" i="5" l="1"/>
  <c r="G7" i="5"/>
  <c r="F7" i="5"/>
  <c r="E7" i="5"/>
  <c r="A7" i="5"/>
  <c r="K7" i="4"/>
  <c r="I7" i="4"/>
  <c r="H7" i="4"/>
  <c r="W6" i="5"/>
  <c r="G6" i="5"/>
  <c r="F6" i="5"/>
  <c r="E6" i="5"/>
  <c r="A6" i="5"/>
  <c r="H6" i="4"/>
  <c r="B72" i="15" a="1"/>
  <c r="B72" i="15" s="1"/>
  <c r="B2" i="15" a="1"/>
  <c r="B2" i="15" s="1"/>
  <c r="AJ4" i="4"/>
  <c r="U4" i="4"/>
  <c r="W4" i="4" s="1"/>
  <c r="O4" i="4"/>
  <c r="I4" i="4"/>
  <c r="H4" i="4"/>
  <c r="A4" i="13" l="1"/>
  <c r="A5" i="13"/>
  <c r="A3" i="5"/>
  <c r="A4" i="5"/>
  <c r="A5" i="5"/>
  <c r="AJ5" i="4"/>
  <c r="V5" i="4"/>
  <c r="O5" i="4"/>
  <c r="H5" i="4"/>
  <c r="A3" i="13" l="1"/>
  <c r="W3" i="5"/>
  <c r="G3" i="5"/>
  <c r="F3" i="5"/>
  <c r="E3" i="5"/>
  <c r="H3" i="4"/>
  <c r="A2" i="13" l="1"/>
  <c r="A2" i="5"/>
  <c r="H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John Mah</author>
  </authors>
  <commentList>
    <comment ref="D1" authorId="0" shapeId="0" xr:uid="{994B754F-ACB2-453D-B41C-FD4A2C11CFC1}">
      <text>
        <r>
          <rPr>
            <b/>
            <sz val="9"/>
            <color rgb="FF000000"/>
            <rFont val="Tahoma"/>
            <family val="2"/>
          </rPr>
          <t>John Mah:</t>
        </r>
        <r>
          <rPr>
            <sz val="9"/>
            <color rgb="FF000000"/>
            <rFont val="Tahoma"/>
            <family val="2"/>
          </rPr>
          <t xml:space="preserve">
</t>
        </r>
        <r>
          <rPr>
            <sz val="9"/>
            <color rgb="FF000000"/>
            <rFont val="Tahoma"/>
            <family val="2"/>
          </rPr>
          <t xml:space="preserve">Units:  lbf
</t>
        </r>
        <r>
          <rPr>
            <sz val="9"/>
            <color rgb="FF000000"/>
            <rFont val="Tahoma"/>
            <family val="2"/>
          </rPr>
          <t>Only input values if jet engine, otherwise input "0"</t>
        </r>
      </text>
    </comment>
    <comment ref="E1" authorId="0" shapeId="0" xr:uid="{33CF912C-46D2-4ED6-B4DB-AF6355DE0B55}">
      <text>
        <r>
          <rPr>
            <b/>
            <sz val="9"/>
            <color rgb="FF000000"/>
            <rFont val="Tahoma"/>
            <family val="2"/>
          </rPr>
          <t>John Mah:</t>
        </r>
        <r>
          <rPr>
            <sz val="9"/>
            <color rgb="FF000000"/>
            <rFont val="Tahoma"/>
            <family val="2"/>
          </rPr>
          <t xml:space="preserve">
</t>
        </r>
        <r>
          <rPr>
            <sz val="9"/>
            <color rgb="FF000000"/>
            <rFont val="Tahoma"/>
            <family val="2"/>
          </rPr>
          <t xml:space="preserve">Units:  (lb/hr/lb)
</t>
        </r>
        <r>
          <rPr>
            <sz val="9"/>
            <color rgb="FF000000"/>
            <rFont val="Tahoma"/>
            <family val="2"/>
          </rPr>
          <t>Only input values if jet engine, otherwise input "0"</t>
        </r>
      </text>
    </comment>
    <comment ref="F1" authorId="0" shapeId="0" xr:uid="{560BB6F2-6434-4044-801C-0A0ADF95A67E}">
      <text>
        <r>
          <rPr>
            <b/>
            <sz val="9"/>
            <color indexed="81"/>
            <rFont val="Tahoma"/>
            <family val="2"/>
          </rPr>
          <t>John Mah:</t>
        </r>
        <r>
          <rPr>
            <sz val="9"/>
            <color indexed="81"/>
            <rFont val="Tahoma"/>
            <family val="2"/>
          </rPr>
          <t xml:space="preserve">
Units:  lbf
Only input values if jet engine, otherwise input "0"</t>
        </r>
      </text>
    </comment>
    <comment ref="G1" authorId="0" shapeId="0" xr:uid="{5F13E4BC-B63C-4E3A-971D-AE57426D1381}">
      <text>
        <r>
          <rPr>
            <b/>
            <sz val="9"/>
            <color rgb="FF000000"/>
            <rFont val="Tahoma"/>
            <family val="2"/>
          </rPr>
          <t>John Mah:</t>
        </r>
        <r>
          <rPr>
            <sz val="9"/>
            <color rgb="FF000000"/>
            <rFont val="Tahoma"/>
            <family val="2"/>
          </rPr>
          <t xml:space="preserve">
</t>
        </r>
        <r>
          <rPr>
            <sz val="9"/>
            <color rgb="FF000000"/>
            <rFont val="Tahoma"/>
            <family val="2"/>
          </rPr>
          <t xml:space="preserve">Units:  (lb/hr/lb)
</t>
        </r>
        <r>
          <rPr>
            <sz val="9"/>
            <color rgb="FF000000"/>
            <rFont val="Tahoma"/>
            <family val="2"/>
          </rPr>
          <t>Only input values if jet engine, otherwise input "0"</t>
        </r>
      </text>
    </comment>
    <comment ref="H1" authorId="0" shapeId="0" xr:uid="{2F624DE7-B028-4776-BEA8-F1740DA854D0}">
      <text>
        <r>
          <rPr>
            <b/>
            <sz val="9"/>
            <color rgb="FF000000"/>
            <rFont val="Tahoma"/>
            <family val="2"/>
          </rPr>
          <t>John Mah:</t>
        </r>
        <r>
          <rPr>
            <sz val="9"/>
            <color rgb="FF000000"/>
            <rFont val="Tahoma"/>
            <family val="2"/>
          </rPr>
          <t xml:space="preserve">
</t>
        </r>
        <r>
          <rPr>
            <sz val="9"/>
            <color rgb="FF000000"/>
            <rFont val="Tahoma"/>
            <family val="2"/>
          </rPr>
          <t>Value from 0 to 1 representing percent loss (i.e. 20% = 0.2)</t>
        </r>
      </text>
    </comment>
    <comment ref="I1" authorId="0" shapeId="0" xr:uid="{D7D2EB46-6A25-49AD-9DDF-D57B890580E3}">
      <text>
        <r>
          <rPr>
            <b/>
            <sz val="9"/>
            <color rgb="FF000000"/>
            <rFont val="Tahoma"/>
            <family val="2"/>
          </rPr>
          <t xml:space="preserve">John Mah:
</t>
        </r>
        <r>
          <rPr>
            <sz val="9"/>
            <color rgb="FF000000"/>
            <rFont val="Tahoma"/>
            <family val="2"/>
          </rPr>
          <t xml:space="preserve">Units: horsepower (hp)
</t>
        </r>
        <r>
          <rPr>
            <sz val="9"/>
            <color rgb="FF000000"/>
            <rFont val="Tahoma"/>
            <family val="2"/>
          </rPr>
          <t xml:space="preserve">Only input if prop, otherwise set to "0"
</t>
        </r>
      </text>
    </comment>
    <comment ref="J1" authorId="0" shapeId="0" xr:uid="{7903A38C-DE84-4A5A-A802-CD3F17895CFF}">
      <text>
        <r>
          <rPr>
            <b/>
            <sz val="9"/>
            <color indexed="81"/>
            <rFont val="Tahoma"/>
            <family val="2"/>
          </rPr>
          <t>John Mah:</t>
        </r>
        <r>
          <rPr>
            <sz val="9"/>
            <color indexed="81"/>
            <rFont val="Tahoma"/>
            <family val="2"/>
          </rPr>
          <t xml:space="preserve">
Units of lb/hr/hp
</t>
        </r>
      </text>
    </comment>
    <comment ref="K1" authorId="0" shapeId="0" xr:uid="{29FFEA9E-4087-4F0C-9EE3-4E0159A89E53}">
      <text>
        <r>
          <rPr>
            <b/>
            <sz val="9"/>
            <color rgb="FF000000"/>
            <rFont val="Tahoma"/>
            <family val="2"/>
          </rPr>
          <t>John Mah:</t>
        </r>
        <r>
          <rPr>
            <sz val="9"/>
            <color rgb="FF000000"/>
            <rFont val="Tahoma"/>
            <family val="2"/>
          </rPr>
          <t xml:space="preserve">
</t>
        </r>
        <r>
          <rPr>
            <sz val="9"/>
            <color rgb="FF000000"/>
            <rFont val="Tahoma"/>
            <family val="2"/>
          </rPr>
          <t>Value from 0 to 1 representing percent propeller efficiency (i.e. 70% = 0.7)</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<sst xmlns="http://schemas.openxmlformats.org/spreadsheetml/2006/main" count="445" uniqueCount="245">
  <si>
    <t>Length_f</t>
  </si>
  <si>
    <t>Dia_f</t>
  </si>
  <si>
    <t>Fine_f</t>
  </si>
  <si>
    <t>Amax_f</t>
  </si>
  <si>
    <t>Abase_f</t>
  </si>
  <si>
    <t>altitude_o</t>
  </si>
  <si>
    <t>Q_f</t>
  </si>
  <si>
    <t>MAC_h1</t>
  </si>
  <si>
    <t>Thick_h1</t>
  </si>
  <si>
    <t>X_thick_h1</t>
  </si>
  <si>
    <t>Sweep_h1</t>
  </si>
  <si>
    <t>Q_h1</t>
  </si>
  <si>
    <t>MAC_v1</t>
  </si>
  <si>
    <t>Thick_v1</t>
  </si>
  <si>
    <t>X_thick_v1</t>
  </si>
  <si>
    <t>Sweep_v1</t>
  </si>
  <si>
    <t>Q_v1</t>
  </si>
  <si>
    <t>MAC_h2</t>
  </si>
  <si>
    <t>Thick_h2</t>
  </si>
  <si>
    <t>X_thick_h2</t>
  </si>
  <si>
    <t>Sweep_h2</t>
  </si>
  <si>
    <t>Q_h2</t>
  </si>
  <si>
    <t>Swet_f</t>
  </si>
  <si>
    <t>Sref-h1</t>
  </si>
  <si>
    <t>Swet_h1</t>
  </si>
  <si>
    <t>Sref-h2</t>
  </si>
  <si>
    <t>Swet_h2</t>
  </si>
  <si>
    <t>Sref-v1</t>
  </si>
  <si>
    <t>Swet_v1</t>
  </si>
  <si>
    <t>Sref-v2</t>
  </si>
  <si>
    <t>Swet_v2</t>
  </si>
  <si>
    <t>MAC_v2</t>
  </si>
  <si>
    <t>Thick_v2</t>
  </si>
  <si>
    <t>X_thick_v2</t>
  </si>
  <si>
    <t>Q_v2</t>
  </si>
  <si>
    <t>Sweep_v2</t>
  </si>
  <si>
    <t>AR_h1</t>
  </si>
  <si>
    <t>Taper_h1</t>
  </si>
  <si>
    <t>AR_h2</t>
  </si>
  <si>
    <t>Taper_h2</t>
  </si>
  <si>
    <t>AR_v1</t>
  </si>
  <si>
    <t>Taper_v1</t>
  </si>
  <si>
    <t>AR_v2</t>
  </si>
  <si>
    <t>Taper_v2</t>
  </si>
  <si>
    <t>Config</t>
  </si>
  <si>
    <t>Sref_w</t>
  </si>
  <si>
    <t>Swet_w</t>
  </si>
  <si>
    <t>AR_w</t>
  </si>
  <si>
    <t>Taper_w</t>
  </si>
  <si>
    <t>Sweep_w</t>
  </si>
  <si>
    <t>Thick_w</t>
  </si>
  <si>
    <t>X_thick_w</t>
  </si>
  <si>
    <t>Q_w</t>
  </si>
  <si>
    <t>Airfoil_w</t>
  </si>
  <si>
    <t>Airfoil_h1</t>
  </si>
  <si>
    <t>Airfoil_h2</t>
  </si>
  <si>
    <t>Airfoil_v1</t>
  </si>
  <si>
    <t>Airfoil_v2</t>
  </si>
  <si>
    <t>N/A</t>
  </si>
  <si>
    <t>Cl_neg5</t>
  </si>
  <si>
    <t>Cl_neg4</t>
  </si>
  <si>
    <t>Cl_neg3</t>
  </si>
  <si>
    <t>Cl_neg2</t>
  </si>
  <si>
    <t>Cl_neg1</t>
  </si>
  <si>
    <t>Cl_0</t>
  </si>
  <si>
    <t>Cl_1</t>
  </si>
  <si>
    <t>Cl_2</t>
  </si>
  <si>
    <t>Cl_3</t>
  </si>
  <si>
    <t>Cl_4</t>
  </si>
  <si>
    <t>Cl_5</t>
  </si>
  <si>
    <t>Cl_6</t>
  </si>
  <si>
    <t>Cl_7</t>
  </si>
  <si>
    <t>Cl_8</t>
  </si>
  <si>
    <t>Cl_9</t>
  </si>
  <si>
    <t>Cl_10</t>
  </si>
  <si>
    <t>Cl_11</t>
  </si>
  <si>
    <t>Cl_12</t>
  </si>
  <si>
    <t>Cl_max</t>
  </si>
  <si>
    <t>Cd_neg5</t>
  </si>
  <si>
    <t>Cd_neg4</t>
  </si>
  <si>
    <t>Cd_neg3</t>
  </si>
  <si>
    <t>Cd_neg2</t>
  </si>
  <si>
    <t>Cd_neg1</t>
  </si>
  <si>
    <t>Cd_0</t>
  </si>
  <si>
    <t>Cd_1</t>
  </si>
  <si>
    <t>Cd_2</t>
  </si>
  <si>
    <t>Cd_3</t>
  </si>
  <si>
    <t>Cd_4</t>
  </si>
  <si>
    <t>Cd_5</t>
  </si>
  <si>
    <t>Cd_6</t>
  </si>
  <si>
    <t>Cd_7</t>
  </si>
  <si>
    <t>Cd_8</t>
  </si>
  <si>
    <t>Cd_9</t>
  </si>
  <si>
    <t>Cd_10</t>
  </si>
  <si>
    <t>Cd_11</t>
  </si>
  <si>
    <t>Cd_12</t>
  </si>
  <si>
    <t>Cd_min</t>
  </si>
  <si>
    <t>QuarterSweep_w</t>
  </si>
  <si>
    <t>Variable Name</t>
  </si>
  <si>
    <t>Units</t>
  </si>
  <si>
    <t>Description</t>
  </si>
  <si>
    <t>User defined configuration number label.  Used to differentiate different designs or trade study variations in designs.</t>
  </si>
  <si>
    <t>Length of fuselage.</t>
  </si>
  <si>
    <t>Maxium diameter of fuselage.</t>
  </si>
  <si>
    <t>Fuselage fineness ratio.  Determined by dividing fuselage length by fuselage diameter.</t>
  </si>
  <si>
    <t>Maximum fuselage cross-section area.</t>
  </si>
  <si>
    <t>Fuselage base drag cross section area.  Determined by finding the cross section in the aft portion of the fuselage where the departure angle of the fuselage contour is &gt; 20 deg.  If this never occurs, then this value is zero.</t>
  </si>
  <si>
    <t>Wetted area of fuselage equal to the total exposed surface area of the fuselage.</t>
  </si>
  <si>
    <t>Fuselage interference factor.  Default value is 1.0. for basic streamlined tube fuselage.  Can be &gt; 1.0 if significant fuselage protrusions exist.</t>
  </si>
  <si>
    <t>Wing planform area.  Projected 2-D area of the entire wing to include portions "hidden" within fuselage.  This area is used as the nondimensionalization scaling reference for all aerodynamic coefficients.</t>
  </si>
  <si>
    <t xml:space="preserve">Wetted area of wing.  Accounts for all exposed (i.e. air touches it) surfaces of the wing (top and bottom surface must be accounted for). </t>
  </si>
  <si>
    <t>Aspect ratio of the wing.  See Wing Geometry reference sheet for equation.</t>
  </si>
  <si>
    <t>Taper ratio of the wing (ratio of root chord to tip chord length). See Wing Geometry reference sheet for equation.</t>
  </si>
  <si>
    <t>deg</t>
  </si>
  <si>
    <t>Leading edge sweep of the main wing.</t>
  </si>
  <si>
    <t>Sweep angle of the line connecting the quarter chord of the main wing from root to tip.</t>
  </si>
  <si>
    <t>Wing interference factor.  Accounts for increase in drag due to the complex interaction of the air flow at the junction of the wing and fuselage.  Typical values range from 1.1 (wing that is smoothly integrated/filleted into fuselage) to 1.4 (poorly integrated / filleted wing-fuselage integration).</t>
  </si>
  <si>
    <t xml:space="preserve">Horizontal stabilizer #1 planform area.  Projected 2-D area of the entire horizontal tail to include portions "hidden" within fuselage. </t>
  </si>
  <si>
    <t xml:space="preserve">Wetted area of horizontal stabilizer #1.  Accounts for all exposed (i.e. air touches it) surfaces (top and bottom surface must be accounted for). </t>
  </si>
  <si>
    <t>Aspect ratio of horizontal stabilizer #1. See Wing Geometry reference sheet for equation.</t>
  </si>
  <si>
    <t>Aspect ratio of horizontal stabilizer #2. See Wing Geometry reference sheet for equation.</t>
  </si>
  <si>
    <t>Taper ratio of the horizontal stabilizer #1 (ratio of root chord to tip chord length). See Wing Geometry reference sheet for equation.</t>
  </si>
  <si>
    <t>Taper ratio of the horizontal stabilizer #2 (ratio of root chord to tip chord length). See Wing Geometry reference sheet for equation.</t>
  </si>
  <si>
    <t>Leading edge sweep of the horizontal stabilizer #1.</t>
  </si>
  <si>
    <t>Estimate of the mean aerodynamic chord of the horizontal stabilizer #1.  Can roughly estimate by taking the average of the root chord and tip chord of the horizontal stabilizer.  Utilized to determine Reynolds number effects for horizontal tail.</t>
  </si>
  <si>
    <t>Horizontal stabilizer #1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</si>
  <si>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Leading edge sweep of the horizontal stabilizer #2.</t>
  </si>
  <si>
    <t>Estimate of the mean aerodynamic chord of the horizontal stabilizer #2.  Can roughly estimate by taking the average of the root chord and tip chord of the horizontal stabilizer.  Utilized to determine Reynolds number effects for horizontal tail.</t>
  </si>
  <si>
    <t>Horizontal stabilizer #2 interference factor.  Accounts for increase in drag due to the complex interaction of the air flow at the junction of the horizontal stabilizer and fuselage (or vertical stabilizer).  Typical values range from 1.1 (smoothly integrated/filleted) to 1.4 (poorly integrated / filleted integration).</t>
  </si>
  <si>
    <t xml:space="preserve">Wetted area of vertical stabilizer #1.  Accounts for all exposed (i.e. air touches it) surfaces (top and bottom surface must be accounted for). </t>
  </si>
  <si>
    <t>Aspect ratio of vertical stabilizer #1. See Wing Geometry reference sheet for equation.</t>
  </si>
  <si>
    <t>Taper ratio of the vertical stabilizer #1 (ratio of root chord to tip chord length). See Wing Geometry reference sheet for equation.</t>
  </si>
  <si>
    <t>Leading edge sweep of the vertical stabilizer #1.</t>
  </si>
  <si>
    <t>Estimate of the mean aerodynamic chord of the vertical stabilizer #1.  Can roughly estimate by taking the average of the root chord and tip chord of the vertical stabilizer.  Utilized to determine Reynolds number effects for vertical tail.</t>
  </si>
  <si>
    <t xml:space="preserve">Vertical stabilizer #1 planform area.  Projected 2-D area of the entire vertical tail to include portions "hidden" within fuselage. </t>
  </si>
  <si>
    <t>Vertical stabilizer #1 interference factor.  Accounts for increase in drag due to the complex interaction of the air flow at the junction of the vertical stabilizer and fuselage.  Typical values range from 1.1 (smoothly integrated/filleted) to 1.4 (poorly integrated / filleted integration).</t>
  </si>
  <si>
    <t xml:space="preserve">Vertical stabilizer #2 planform area.  Projected 2-D area of the entire vertical tail to include portions "hidden" within fuselage. </t>
  </si>
  <si>
    <t xml:space="preserve">Wetted area of vertical stabilizer #2.  Accounts for all exposed (i.e. air touches it) surfaces (top and bottom surface must be accounted for). </t>
  </si>
  <si>
    <t>Aspect ratio of vertical stabilizer #2. See Wing Geometry reference sheet for equation.</t>
  </si>
  <si>
    <t>Taper ratio of the vertical stabilizer #2 (ratio of root chord to tip chord length). See Wing Geometry reference sheet for equation.</t>
  </si>
  <si>
    <t>Leading edge sweep of the vertical stabilizer #2.</t>
  </si>
  <si>
    <t>Estimate of the mean aerodynamic chord of the vertical stabilizer #2.  Can roughly estimate by taking the average of the root chord and tip chord of the vertical stabilizer.  Utilized to determine Reynolds number effects for vertical tail.</t>
  </si>
  <si>
    <t>Vertical stabilizer #2 interference factor.  Accounts for increase in drag due to the complex interaction of the air flow at the junction of the vertical stabilizer and fuselage.  Typical values range from 1.1 (smoothly integrated/filleted) to 1.4 (poorly integrated / filleted integration).</t>
  </si>
  <si>
    <t>Cd_XXX</t>
  </si>
  <si>
    <t>Cl_XXX</t>
  </si>
  <si>
    <t>Main wing airfoil name.</t>
  </si>
  <si>
    <t>Main wing airfoil thickness to chord ratio.</t>
  </si>
  <si>
    <t>Main wing airfoil location of max thickness in percent chord.</t>
  </si>
  <si>
    <t>Minimum value of airfoil coefficient of drag data.</t>
  </si>
  <si>
    <t>Horizontal stabilizer #1 airfoil name.</t>
  </si>
  <si>
    <t>Horizontal stabilizer #2 airfoil name.</t>
  </si>
  <si>
    <t>Horizontal stabilizer #1 airfoil thickness to chord ratio.</t>
  </si>
  <si>
    <t>Horizontal stabilizer #1 airfoil location of max thickness in percent chord.</t>
  </si>
  <si>
    <t>Horizontal stabilizer #2 airfoil thickness to chord ratio.</t>
  </si>
  <si>
    <t>Horizontal stabilizer #2 airfoil location of max thickness in percent chord.</t>
  </si>
  <si>
    <t>Vertical stabilizer #1 airfoil name.</t>
  </si>
  <si>
    <t>Vertical stabilizer #1 airfoil thickness to chord ratio.</t>
  </si>
  <si>
    <t>Vertical stabilizer #1 airfoil location of max thickness in percent chord.</t>
  </si>
  <si>
    <t>Vertical stabilizer #2 airfoil name.</t>
  </si>
  <si>
    <t>Vertical stabilizer #2 airfoil thickness to chord ratio.</t>
  </si>
  <si>
    <t>Vertical stabilizer #2 airfoil location of max thickness in percent chord.</t>
  </si>
  <si>
    <t>Worksheet</t>
  </si>
  <si>
    <t>Airfoil_Data</t>
  </si>
  <si>
    <t>Main_Input</t>
  </si>
  <si>
    <t>Number</t>
  </si>
  <si>
    <t>PA_shp_sl</t>
  </si>
  <si>
    <t>SFC_sl</t>
  </si>
  <si>
    <t>Prop_eff</t>
  </si>
  <si>
    <t>Install_loss</t>
  </si>
  <si>
    <t>M_o</t>
  </si>
  <si>
    <t>Estimate of designed Mach. Used to calculate Reynolds number for model analysis of skin friction drag.  Value should be selected to represent the most prevalent or important mission mach expected.</t>
  </si>
  <si>
    <t>Design altitude.  Utilized to find standard atmosphere properties in model via the atmos function.  Value is typically left at sea level for conceptual design, but can be selected to represent the most prevalent or important mission altitude expected.</t>
  </si>
  <si>
    <t>ft</t>
  </si>
  <si>
    <t>ft^2</t>
  </si>
  <si>
    <t>2D airfoil coefficient of lift data from -5 deg AoA to 15 deg AoA (as denoted by value XXX after the Cl_)</t>
  </si>
  <si>
    <t>2D airfoil coefficient of drag data from -5 deg AoA to 15 deg AoA (as denoted by value XXX after the Cd_)</t>
  </si>
  <si>
    <t>2D airfoil maximum coefficient of lift</t>
  </si>
  <si>
    <t>EWD</t>
  </si>
  <si>
    <t>M_max</t>
  </si>
  <si>
    <t>Max mach for design.</t>
  </si>
  <si>
    <t>F16</t>
  </si>
  <si>
    <t>NACA0004</t>
  </si>
  <si>
    <t>PropType</t>
  </si>
  <si>
    <t>TA_AB_sl</t>
  </si>
  <si>
    <t>TSFC_AB_sl</t>
  </si>
  <si>
    <t>JET_HBP_Turbofan</t>
  </si>
  <si>
    <t>JET_LBP_Turbofan</t>
  </si>
  <si>
    <t>PROP_Fuel</t>
  </si>
  <si>
    <t>PROP_Electric</t>
  </si>
  <si>
    <t>TA_mil_sl</t>
  </si>
  <si>
    <t>TSFC_mil_sl</t>
  </si>
  <si>
    <t>Propulsion</t>
  </si>
  <si>
    <t>User defined configuration number label.  Must align with configuration name / row on Main_Input.</t>
  </si>
  <si>
    <t>Type of propulsion utilized.  Pull down menu w/ limited options:  PROP_Fuel, PROP_Electric, JET_HBP_Turbofan,JET_LBP_Turbofan</t>
  </si>
  <si>
    <t>lb</t>
  </si>
  <si>
    <t>(lb/hr/lb)</t>
  </si>
  <si>
    <t>hp</t>
  </si>
  <si>
    <t>(lb/hr/hp)</t>
  </si>
  <si>
    <t>Number of engines / propulsion systems on aircraft.</t>
  </si>
  <si>
    <t>Static sea level uninstalled thrust without afterburner for a jet engine.  If using a prop driven aircraft, set to zero.</t>
  </si>
  <si>
    <t>Thrust specific fuel consupmtion without afterburner for a jet engine. If using a prop driven aircraft, set to zero.</t>
  </si>
  <si>
    <t>Thrust specific fuel consupmtion with afterburner for a jet engine. If using a prop driven aircraft or a jet engine without afterburner, set to zero.</t>
  </si>
  <si>
    <t>Static sea level uninstalled thrust with afterburner for a jet engine.  If using a prop driven aircraft or jet engine without afterburner, set to zero.</t>
  </si>
  <si>
    <t>Installation losses for a jet engine.  Typically 20% = 0.2.</t>
  </si>
  <si>
    <t>Shaft or brake horsepower of engine driving a prop at sea level.  If using a jet engine, set to zero.</t>
  </si>
  <si>
    <t>Specific Fuel Consumption for prop engine.  If using a jet engine, set to zero.</t>
  </si>
  <si>
    <t>Propellor efficiency.</t>
  </si>
  <si>
    <t>Aircraft Type. Used for calculating empty weight fraction based on models from Raymer Table 6.1 &amp; 6.2.</t>
  </si>
  <si>
    <t>ACType</t>
  </si>
  <si>
    <t>Jet_Fighter</t>
  </si>
  <si>
    <t>Jet_Trainer</t>
  </si>
  <si>
    <t>Jet_Transport</t>
  </si>
  <si>
    <t>Military_Cargo/Bomber</t>
  </si>
  <si>
    <t>C172</t>
  </si>
  <si>
    <t>NACA2412</t>
  </si>
  <si>
    <t>B747</t>
  </si>
  <si>
    <t>T38</t>
  </si>
  <si>
    <t>BACJ</t>
  </si>
  <si>
    <t>NACA 0010</t>
  </si>
  <si>
    <t>Emperical Wave Drag Factor.  Example valuse:  1 = Ideal Sears-Haack Body, Typcial range for supersonic aircraft is 1.8 - 2.2 for clean, smoothly blended contoured design, 2.5 - 3 = Bumpy volume distribution.  An F-15 has an EWD around 2.9.</t>
  </si>
  <si>
    <t>Electric</t>
  </si>
  <si>
    <t>Esb_ideal</t>
  </si>
  <si>
    <t>install_loss</t>
  </si>
  <si>
    <t>capacity_loss</t>
  </si>
  <si>
    <t>lifetime_loss</t>
  </si>
  <si>
    <t>Esb_Real</t>
  </si>
  <si>
    <t>eta_b2s</t>
  </si>
  <si>
    <t>PROP_Turbocharged</t>
  </si>
  <si>
    <t>Business_Jet</t>
  </si>
  <si>
    <t>UAV_Jet</t>
  </si>
  <si>
    <t>GA_Metal_Single</t>
  </si>
  <si>
    <t>GA_Metal_Twin</t>
  </si>
  <si>
    <t>GA_Composite</t>
  </si>
  <si>
    <t>Turboprop_Transport</t>
  </si>
  <si>
    <t>Sailplane_Unpowered</t>
  </si>
  <si>
    <t>Sailplane_Powered</t>
  </si>
  <si>
    <t>Aerobatic_Prop</t>
  </si>
  <si>
    <t>UAV_Prop</t>
  </si>
  <si>
    <t>Flying_Boat_Prop</t>
  </si>
  <si>
    <t>Ag_Aircraft_Prop</t>
  </si>
  <si>
    <t>Homebuilt_Composite_Prop</t>
  </si>
  <si>
    <t>Homebuilt_Metal/wood_Prop</t>
  </si>
  <si>
    <t>PROP_Turboprop</t>
  </si>
  <si>
    <t>Tiltrotor Turboprop</t>
  </si>
  <si>
    <t>Prop_Dia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</si>
</sst>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8">
    <font>
      <sz val="11"/>
      <color theme="1"/>
      <name val="Calibri"/>
      <family val="2"/>
      <scheme val="minor"/>
    </font>
    <font>
      <sz val="8"/>
      <name val="Calibri"/>
      <family val="2"/>
      <scheme val="minor"/>
    </font>
    <font>
      <sz val="9"/>
      <color indexed="81"/>
      <name val="Tahoma"/>
      <family val="2"/>
    </font>
    <font>
      <b/>
      <sz val="9"/>
      <color indexed="81"/>
      <name val="Tahoma"/>
      <family val="2"/>
    </font>
    <font>
      <b/>
      <sz val="11"/>
      <color theme="1"/>
      <name val="Calibri"/>
      <family val="2"/>
      <scheme val="minor"/>
    </font>
    <font>
      <sz val="10"/>
      <color theme="1"/>
      <name val="Arial Unicode MS"/>
      <family val="2"/>
    </font>
    <font>
      <b/>
      <sz val="9"/>
      <color rgb="FF000000"/>
      <name val="Tahoma"/>
      <family val="2"/>
    </font>
    <font>
      <sz val="9"/>
      <color rgb="FF000000"/>
      <name val="Tahoma"/>
      <family val="2"/>
    </font>
  </fonts>
  <fills count="14">
    <fill>
      <patternFill patternType="none"/>
    </fill>
    <fill>
      <patternFill patternType="gray125"/>
    </fill>
    <fill>
      <patternFill patternType="solid">
        <fgColor theme="8" tint="0.39997558519241921"/>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bgColor indexed="64"/>
      </patternFill>
    </fill>
    <fill>
      <patternFill patternType="solid">
        <fgColor theme="8"/>
        <bgColor indexed="64"/>
      </patternFill>
    </fill>
    <fill>
      <patternFill patternType="solid">
        <fgColor theme="1"/>
        <bgColor indexed="64"/>
      </patternFill>
    </fill>
    <fill>
      <patternFill patternType="solid">
        <fgColor theme="4" tint="0.79998168889431442"/>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0" fillId="0" borderId="0" xfId="0" applyAlignment="1">
      <alignment horizontal="center"/>
    </xf>
    <xf numFmtId="0" fontId="0" fillId="0" borderId="0" xfId="0" applyAlignment="1">
      <alignment wrapText="1"/>
    </xf>
    <xf numFmtId="0" fontId="0" fillId="0" borderId="1" xfId="0" applyBorder="1"/>
    <xf numFmtId="0" fontId="0" fillId="0" borderId="1" xfId="0" applyBorder="1" applyAlignment="1">
      <alignment horizontal="center"/>
    </xf>
    <xf numFmtId="0" fontId="0" fillId="0" borderId="1" xfId="0" applyBorder="1" applyAlignment="1">
      <alignment wrapText="1"/>
    </xf>
    <xf numFmtId="0" fontId="4" fillId="2" borderId="1" xfId="0" applyFont="1" applyFill="1" applyBorder="1" applyAlignment="1">
      <alignment horizontal="center"/>
    </xf>
    <xf numFmtId="0" fontId="4" fillId="2" borderId="1" xfId="0" applyFont="1" applyFill="1" applyBorder="1" applyAlignment="1">
      <alignment horizontal="center" wrapText="1"/>
    </xf>
    <xf numFmtId="0" fontId="4" fillId="2" borderId="1" xfId="0" applyFont="1" applyFill="1" applyBorder="1"/>
    <xf numFmtId="0" fontId="4" fillId="8" borderId="1" xfId="0" applyFont="1" applyFill="1"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0" fontId="0" fillId="3" borderId="1" xfId="0" applyFill="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center"/>
    </xf>
    <xf numFmtId="0" fontId="0" fillId="6" borderId="1" xfId="0" applyFill="1" applyBorder="1" applyAlignment="1">
      <alignment horizontal="center"/>
    </xf>
    <xf numFmtId="0" fontId="0" fillId="7" borderId="1" xfId="0" applyFill="1" applyBorder="1" applyAlignment="1">
      <alignment horizontal="center"/>
    </xf>
    <xf numFmtId="0" fontId="0" fillId="8" borderId="1" xfId="0" applyFill="1" applyBorder="1" applyAlignment="1">
      <alignment horizontal="center"/>
    </xf>
    <xf numFmtId="0" fontId="4" fillId="9" borderId="0" xfId="0" applyFont="1" applyFill="1"/>
    <xf numFmtId="0" fontId="4" fillId="8" borderId="0" xfId="0" applyFont="1" applyFill="1"/>
    <xf numFmtId="0" fontId="4" fillId="10" borderId="0" xfId="0" applyFont="1" applyFill="1"/>
    <xf numFmtId="0" fontId="0" fillId="11" borderId="0" xfId="0" applyFill="1"/>
    <xf numFmtId="0" fontId="0" fillId="11" borderId="1" xfId="0" applyFill="1" applyBorder="1" applyAlignment="1">
      <alignment horizontal="center"/>
    </xf>
    <xf numFmtId="0" fontId="0" fillId="11" borderId="1" xfId="0" applyFill="1" applyBorder="1" applyAlignment="1">
      <alignment horizontal="center" vertical="center"/>
    </xf>
    <xf numFmtId="0" fontId="0" fillId="11" borderId="1" xfId="0" applyFill="1" applyBorder="1"/>
    <xf numFmtId="0" fontId="0" fillId="11" borderId="0" xfId="0" applyFill="1" applyAlignment="1">
      <alignment horizontal="center"/>
    </xf>
    <xf numFmtId="0" fontId="0" fillId="11" borderId="1" xfId="0" applyFill="1" applyBorder="1" applyAlignment="1">
      <alignment wrapText="1"/>
    </xf>
    <xf numFmtId="0" fontId="0" fillId="11" borderId="0" xfId="0" applyFill="1" applyAlignment="1">
      <alignment wrapText="1"/>
    </xf>
    <xf numFmtId="0" fontId="0" fillId="12" borderId="0" xfId="0" applyFill="1"/>
    <xf numFmtId="0" fontId="5" fillId="0" borderId="1" xfId="0" applyFont="1" applyBorder="1" applyAlignment="1">
      <alignment horizontal="left" vertical="center"/>
    </xf>
    <xf numFmtId="0" fontId="4" fillId="1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19</xdr:col>
      <xdr:colOff>243840</xdr:colOff>
      <xdr:row>36</xdr:row>
      <xdr:rowOff>68580</xdr:rowOff>
    </xdr:to>
    <xdr:pic>
      <xdr:nvPicPr>
        <xdr:cNvPr id="2" name="Graphic 1">
          <a:extLst>
            <a:ext uri="{FF2B5EF4-FFF2-40B4-BE49-F238E27FC236}">
              <a16:creationId xmlns:a16="http://schemas.microsoft.com/office/drawing/2014/main" id="{BA008524-E857-6499-F00F-928EE4D7DBD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1826240" cy="6652260"/>
        </a:xfrm>
        <a:prstGeom prst="rect">
          <a:avLst/>
        </a:prstGeom>
      </xdr:spPr>
    </xdr:pic>
    <xdr:clientData/>
  </xdr:twoCellAnchor>
  <xdr:twoCellAnchor editAs="oneCell">
    <xdr:from>
      <xdr:col>0</xdr:col>
      <xdr:colOff>0</xdr:colOff>
      <xdr:row>73</xdr:row>
      <xdr:rowOff>182879</xdr:rowOff>
    </xdr:from>
    <xdr:to>
      <xdr:col>19</xdr:col>
      <xdr:colOff>213360</xdr:colOff>
      <xdr:row>110</xdr:row>
      <xdr:rowOff>51434</xdr:rowOff>
    </xdr:to>
    <xdr:pic>
      <xdr:nvPicPr>
        <xdr:cNvPr id="4" name="Graphic 3">
          <a:extLst>
            <a:ext uri="{FF2B5EF4-FFF2-40B4-BE49-F238E27FC236}">
              <a16:creationId xmlns:a16="http://schemas.microsoft.com/office/drawing/2014/main" id="{2A4BBFC0-B4AC-217B-C302-B4ED906801F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13533119"/>
          <a:ext cx="11795760" cy="6635115"/>
        </a:xfrm>
        <a:prstGeom prst="rect">
          <a:avLst/>
        </a:prstGeom>
      </xdr:spPr>
    </xdr:pic>
    <xdr:clientData/>
  </xdr:twoCellAnchor>
  <xdr:twoCellAnchor editAs="oneCell">
    <xdr:from>
      <xdr:col>0</xdr:col>
      <xdr:colOff>28574</xdr:colOff>
      <xdr:row>36</xdr:row>
      <xdr:rowOff>161925</xdr:rowOff>
    </xdr:from>
    <xdr:to>
      <xdr:col>19</xdr:col>
      <xdr:colOff>220449</xdr:colOff>
      <xdr:row>73</xdr:row>
      <xdr:rowOff>952</xdr:rowOff>
    </xdr:to>
    <xdr:pic>
      <xdr:nvPicPr>
        <xdr:cNvPr id="5" name="Graphic 4">
          <a:extLst>
            <a:ext uri="{FF2B5EF4-FFF2-40B4-BE49-F238E27FC236}">
              <a16:creationId xmlns:a16="http://schemas.microsoft.com/office/drawing/2014/main" id="{53D5C38F-97D6-4D31-5939-E0411B48481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8574" y="6677025"/>
          <a:ext cx="12498175" cy="653510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file:///C:\GitHub%20Code%20Workspace\AircraftDesignToolbox\ASEN4138_DEMO.xlsx" TargetMode="External"/><Relationship Id="rId2" Type="http://schemas.microsoft.com/office/2019/04/relationships/externalLinkLongPath" Target="/personal/joma1794_colorado_edu/Documents/Course%20Materials/ASEN%204138%20Aircraft%20Design/Semester%20Course%20Folders/ASEN%204138%20Spr%2026%20Working%20Folder/MATLAB%20Design%20Code%20Baseline/MAIN/Input%20Excel%20Sheets/Design%20Configurations/ASEN4138_DEMO.xlsx?BE9F93E7" TargetMode="External"/><Relationship Id="rId1" Type="http://schemas.openxmlformats.org/officeDocument/2006/relationships/externalLinkPath" Target="file:///\\BE9F93E7\ASEN4138_DEMO.xlsx" TargetMode="External"/><Relationship Id="rId4" Type="http://schemas.openxmlformats.org/officeDocument/2006/relationships/externalLinkPath" Target="../../../../../../../joma1794_colorado_edu/Documents/Course%20Materials/ASEN%204138%20Aircraft%20Design/Semester%20Course%20Folders/ASEN%204138%20Spr%2026%20Working%20Folder/MATLAB%20Design%20Code%20Baseline/MAIN/Input%20Excel%20Sheets/Design%20Configurations/ASEN4138_DEM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relativeUrl r:id="rId4"/>
    </xxl21:alternateUrls>
    <sheetNames>
      <sheetName val="Variable Reference"/>
      <sheetName val="Main_Input"/>
      <sheetName val="Airfoil_Data"/>
      <sheetName val="Propulsion"/>
      <sheetName val="Lists"/>
      <sheetName val="Geometry Reference"/>
    </sheetNames>
    <sheetDataSet>
      <sheetData sheetId="0"/>
      <sheetData sheetId="1">
        <row r="1">
          <cell r="A1" t="str">
            <v>Config</v>
          </cell>
          <cell r="B1" t="str">
            <v>ACType</v>
          </cell>
          <cell r="C1" t="str">
            <v>altitude_o</v>
          </cell>
          <cell r="D1" t="str">
            <v>M_o</v>
          </cell>
          <cell r="E1" t="str">
            <v>M_max</v>
          </cell>
          <cell r="F1" t="str">
            <v>Length_f</v>
          </cell>
          <cell r="G1" t="str">
            <v>Dia_f</v>
          </cell>
          <cell r="H1" t="str">
            <v>Fine_f</v>
          </cell>
          <cell r="I1" t="str">
            <v>Amax_f</v>
          </cell>
          <cell r="J1" t="str">
            <v>Abase_f</v>
          </cell>
          <cell r="K1" t="str">
            <v>Swet_f</v>
          </cell>
          <cell r="L1" t="str">
            <v>Q_f</v>
          </cell>
          <cell r="M1" t="str">
            <v>EWD</v>
          </cell>
          <cell r="N1" t="str">
            <v>Sref_w</v>
          </cell>
          <cell r="O1" t="str">
            <v>Swet_w</v>
          </cell>
          <cell r="P1" t="str">
            <v>AR_w</v>
          </cell>
          <cell r="Q1" t="str">
            <v>Taper_w</v>
          </cell>
          <cell r="R1" t="str">
            <v>Sweep_w</v>
          </cell>
          <cell r="S1" t="str">
            <v>QuarterSweep_w</v>
          </cell>
          <cell r="T1" t="str">
            <v>Q_w</v>
          </cell>
          <cell r="U1" t="str">
            <v>Sref-h1</v>
          </cell>
          <cell r="V1" t="str">
            <v>Swet_h1</v>
          </cell>
          <cell r="W1" t="str">
            <v>AR_h1</v>
          </cell>
          <cell r="X1" t="str">
            <v>Taper_h1</v>
          </cell>
          <cell r="Y1" t="str">
            <v>Sweep_h1</v>
          </cell>
          <cell r="Z1" t="str">
            <v>MAC_h1</v>
          </cell>
          <cell r="AA1" t="str">
            <v>Q_h1</v>
          </cell>
          <cell r="AB1" t="str">
            <v>Sref-h2</v>
          </cell>
          <cell r="AC1" t="str">
            <v>Swet_h2</v>
          </cell>
          <cell r="AD1" t="str">
            <v>AR_h2</v>
          </cell>
          <cell r="AE1" t="str">
            <v>Taper_h2</v>
          </cell>
          <cell r="AF1" t="str">
            <v>Sweep_h2</v>
          </cell>
          <cell r="AG1" t="str">
            <v>MAC_h2</v>
          </cell>
          <cell r="AH1" t="str">
            <v>Q_h2</v>
          </cell>
          <cell r="AI1" t="str">
            <v>Sref-v1</v>
          </cell>
          <cell r="AJ1" t="str">
            <v>Swet_v1</v>
          </cell>
          <cell r="AK1" t="str">
            <v>AR_v1</v>
          </cell>
          <cell r="AL1" t="str">
            <v>Taper_v1</v>
          </cell>
          <cell r="AM1" t="str">
            <v>Sweep_v1</v>
          </cell>
          <cell r="AN1" t="str">
            <v>MAC_v1</v>
          </cell>
          <cell r="AO1" t="str">
            <v>Q_v1</v>
          </cell>
          <cell r="AP1" t="str">
            <v>Sref-v2</v>
          </cell>
          <cell r="AQ1" t="str">
            <v>Swet_v2</v>
          </cell>
          <cell r="AR1" t="str">
            <v>AR_v2</v>
          </cell>
          <cell r="AS1" t="str">
            <v>Taper_v2</v>
          </cell>
          <cell r="AT1" t="str">
            <v>Sweep_v2</v>
          </cell>
          <cell r="AU1" t="str">
            <v>MAC_v2</v>
          </cell>
          <cell r="AV1" t="str">
            <v>Q_v2</v>
          </cell>
        </row>
      </sheetData>
      <sheetData sheetId="2"/>
      <sheetData sheetId="3">
        <row r="1">
          <cell r="A1" t="str">
            <v>Config</v>
          </cell>
          <cell r="B1" t="str">
            <v>PropType</v>
          </cell>
          <cell r="C1" t="str">
            <v>Number</v>
          </cell>
          <cell r="D1" t="str">
            <v>TA_mil_sl</v>
          </cell>
          <cell r="E1" t="str">
            <v>TSFC_mil_sl</v>
          </cell>
          <cell r="F1" t="str">
            <v>TA_AB_sl</v>
          </cell>
          <cell r="G1" t="str">
            <v>TSFC_AB_sl</v>
          </cell>
          <cell r="H1" t="str">
            <v>Install_loss</v>
          </cell>
          <cell r="I1" t="str">
            <v>PA_shp_sl</v>
          </cell>
          <cell r="J1" t="str">
            <v>SFC_sl</v>
          </cell>
          <cell r="K1" t="str">
            <v>Prop_eff</v>
          </cell>
        </row>
      </sheetData>
      <sheetData sheetId="4"/>
      <sheetData sheetId="5"/>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DDF74B-ED38-453D-9A8B-B84927D9E640}" name="PropType" displayName="PropType" ref="A1:A7" totalsRowShown="0">
  <autoFilter ref="A1:A7" xr:uid="{40DDF74B-ED38-453D-9A8B-B84927D9E640}"/>
  <tableColumns count="1">
    <tableColumn id="1" xr3:uid="{20027CBF-DCE1-442B-AA60-A7E5A3879AA1}" name="PropTyp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F42A0D2-EAC7-A54E-991B-9E71EC9E2957}" name="PropType3" displayName="PropType3" ref="B1:B19" totalsRowShown="0">
  <autoFilter ref="B1:B19" xr:uid="{5F42A0D2-EAC7-A54E-991B-9E71EC9E2957}"/>
  <tableColumns count="1">
    <tableColumn id="1" xr3:uid="{C9747CFA-E8A2-B048-8F95-F8590062D4FF}" name="ACTyp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DAC46-A25C-47BF-94AD-A8C1FE6816F1}">
  <dimension ref="A1:D82"/>
  <sheetViews>
    <sheetView topLeftCell="B63" zoomScale="125" workbookViewId="0">
      <selection activeCell="D80" sqref="D80"/>
    </sheetView>
  </sheetViews>
  <sheetFormatPr defaultColWidth="8.77734375" defaultRowHeight="14.4"/>
  <cols>
    <col min="1" max="1" width="16.109375" bestFit="1" customWidth="1"/>
    <col min="2" max="2" width="13.77734375" bestFit="1" customWidth="1"/>
    <col min="3" max="3" width="11.33203125" style="1" customWidth="1"/>
    <col min="4" max="4" width="104.44140625" style="2" customWidth="1"/>
  </cols>
  <sheetData>
    <row r="1" spans="1:4">
      <c r="A1" s="8" t="s">
        <v>161</v>
      </c>
      <c r="B1" s="6" t="s">
        <v>98</v>
      </c>
      <c r="C1" s="6" t="s">
        <v>99</v>
      </c>
      <c r="D1" s="7" t="s">
        <v>100</v>
      </c>
    </row>
    <row r="2" spans="1:4">
      <c r="A2" s="3" t="s">
        <v>163</v>
      </c>
      <c r="B2" s="3" t="str" cm="1">
        <f t="array" ref="B2:B49">TRANSPOSE([1]Main_Input!A1:AV1)</f>
        <v>Config</v>
      </c>
      <c r="C2" s="4" t="s">
        <v>58</v>
      </c>
      <c r="D2" s="5" t="s">
        <v>101</v>
      </c>
    </row>
    <row r="3" spans="1:4">
      <c r="A3" s="3" t="s">
        <v>163</v>
      </c>
      <c r="B3" s="3" t="str">
        <v>ACType</v>
      </c>
      <c r="C3" s="4" t="s">
        <v>58</v>
      </c>
      <c r="D3" s="2" t="s">
        <v>207</v>
      </c>
    </row>
    <row r="4" spans="1:4" ht="28.8">
      <c r="A4" s="3" t="s">
        <v>163</v>
      </c>
      <c r="B4" s="3" t="str">
        <v>altitude_o</v>
      </c>
      <c r="C4" s="4" t="s">
        <v>172</v>
      </c>
      <c r="D4" s="5" t="s">
        <v>171</v>
      </c>
    </row>
    <row r="5" spans="1:4" ht="28.8">
      <c r="A5" s="3" t="s">
        <v>163</v>
      </c>
      <c r="B5" s="3" t="str">
        <v>M_o</v>
      </c>
      <c r="C5" s="4" t="s">
        <v>58</v>
      </c>
      <c r="D5" s="5" t="s">
        <v>170</v>
      </c>
    </row>
    <row r="6" spans="1:4">
      <c r="A6" s="3" t="s">
        <v>163</v>
      </c>
      <c r="B6" s="3" t="str">
        <v>M_max</v>
      </c>
      <c r="C6" s="4" t="s">
        <v>58</v>
      </c>
      <c r="D6" s="5" t="s">
        <v>179</v>
      </c>
    </row>
    <row r="7" spans="1:4">
      <c r="A7" s="3" t="s">
        <v>163</v>
      </c>
      <c r="B7" s="3" t="str">
        <v>Length_f</v>
      </c>
      <c r="C7" s="4" t="s">
        <v>172</v>
      </c>
      <c r="D7" s="5" t="s">
        <v>102</v>
      </c>
    </row>
    <row r="8" spans="1:4">
      <c r="A8" s="3" t="s">
        <v>163</v>
      </c>
      <c r="B8" s="3" t="str">
        <v>Dia_f</v>
      </c>
      <c r="C8" s="4" t="s">
        <v>172</v>
      </c>
      <c r="D8" s="5" t="s">
        <v>103</v>
      </c>
    </row>
    <row r="9" spans="1:4">
      <c r="A9" s="3" t="s">
        <v>163</v>
      </c>
      <c r="B9" s="3" t="str">
        <v>Fine_f</v>
      </c>
      <c r="C9" s="4" t="s">
        <v>58</v>
      </c>
      <c r="D9" s="5" t="s">
        <v>104</v>
      </c>
    </row>
    <row r="10" spans="1:4">
      <c r="A10" s="3" t="s">
        <v>163</v>
      </c>
      <c r="B10" s="3" t="str">
        <v>Amax_f</v>
      </c>
      <c r="C10" s="4" t="s">
        <v>173</v>
      </c>
      <c r="D10" s="5" t="s">
        <v>105</v>
      </c>
    </row>
    <row r="11" spans="1:4" ht="28.8">
      <c r="A11" s="3" t="s">
        <v>163</v>
      </c>
      <c r="B11" s="3" t="str">
        <v>Abase_f</v>
      </c>
      <c r="C11" s="4" t="s">
        <v>173</v>
      </c>
      <c r="D11" s="5" t="s">
        <v>106</v>
      </c>
    </row>
    <row r="12" spans="1:4">
      <c r="A12" s="3" t="s">
        <v>163</v>
      </c>
      <c r="B12" s="3" t="str">
        <v>Swet_f</v>
      </c>
      <c r="C12" s="4" t="s">
        <v>173</v>
      </c>
      <c r="D12" s="5" t="s">
        <v>107</v>
      </c>
    </row>
    <row r="13" spans="1:4" ht="28.8">
      <c r="A13" s="3" t="s">
        <v>163</v>
      </c>
      <c r="B13" s="3" t="str">
        <v>Q_f</v>
      </c>
      <c r="C13" s="4" t="s">
        <v>58</v>
      </c>
      <c r="D13" s="5" t="s">
        <v>108</v>
      </c>
    </row>
    <row r="14" spans="1:4" ht="28.8">
      <c r="A14" s="3" t="s">
        <v>163</v>
      </c>
      <c r="B14" s="3" t="str">
        <v>EWD</v>
      </c>
      <c r="C14" s="4" t="s">
        <v>58</v>
      </c>
      <c r="D14" s="5" t="s">
        <v>219</v>
      </c>
    </row>
    <row r="15" spans="1:4" ht="28.8">
      <c r="A15" s="3" t="s">
        <v>163</v>
      </c>
      <c r="B15" s="3" t="str">
        <v>Sref_w</v>
      </c>
      <c r="C15" s="4" t="s">
        <v>173</v>
      </c>
      <c r="D15" s="5" t="s">
        <v>109</v>
      </c>
    </row>
    <row r="16" spans="1:4" ht="28.8">
      <c r="A16" s="3" t="s">
        <v>163</v>
      </c>
      <c r="B16" s="3" t="str">
        <v>Swet_w</v>
      </c>
      <c r="C16" s="4" t="s">
        <v>173</v>
      </c>
      <c r="D16" s="5" t="s">
        <v>110</v>
      </c>
    </row>
    <row r="17" spans="1:4">
      <c r="A17" s="3" t="s">
        <v>163</v>
      </c>
      <c r="B17" s="3" t="str">
        <v>AR_w</v>
      </c>
      <c r="C17" s="4" t="s">
        <v>58</v>
      </c>
      <c r="D17" s="5" t="s">
        <v>111</v>
      </c>
    </row>
    <row r="18" spans="1:4">
      <c r="A18" s="3" t="s">
        <v>163</v>
      </c>
      <c r="B18" s="3" t="str">
        <v>Taper_w</v>
      </c>
      <c r="C18" s="4" t="s">
        <v>58</v>
      </c>
      <c r="D18" s="5" t="s">
        <v>112</v>
      </c>
    </row>
    <row r="19" spans="1:4">
      <c r="A19" s="3" t="s">
        <v>163</v>
      </c>
      <c r="B19" s="3" t="str">
        <v>Sweep_w</v>
      </c>
      <c r="C19" s="4" t="s">
        <v>113</v>
      </c>
      <c r="D19" s="5" t="s">
        <v>114</v>
      </c>
    </row>
    <row r="20" spans="1:4">
      <c r="A20" s="3" t="s">
        <v>163</v>
      </c>
      <c r="B20" s="3" t="str">
        <v>QuarterSweep_w</v>
      </c>
      <c r="C20" s="4" t="s">
        <v>113</v>
      </c>
      <c r="D20" s="5" t="s">
        <v>115</v>
      </c>
    </row>
    <row r="21" spans="1:4" ht="43.2">
      <c r="A21" s="3" t="s">
        <v>163</v>
      </c>
      <c r="B21" s="3" t="str">
        <v>Q_w</v>
      </c>
      <c r="C21" s="4" t="s">
        <v>58</v>
      </c>
      <c r="D21" s="5" t="s">
        <v>116</v>
      </c>
    </row>
    <row r="22" spans="1:4" ht="28.5" customHeight="1">
      <c r="A22" s="3" t="s">
        <v>163</v>
      </c>
      <c r="B22" s="3" t="str">
        <v>Sref-h1</v>
      </c>
      <c r="C22" s="4" t="s">
        <v>173</v>
      </c>
      <c r="D22" s="5" t="s">
        <v>117</v>
      </c>
    </row>
    <row r="23" spans="1:4" ht="28.8">
      <c r="A23" s="3" t="s">
        <v>163</v>
      </c>
      <c r="B23" s="3" t="str">
        <v>Swet_h1</v>
      </c>
      <c r="C23" s="4" t="s">
        <v>173</v>
      </c>
      <c r="D23" s="5" t="s">
        <v>118</v>
      </c>
    </row>
    <row r="24" spans="1:4">
      <c r="A24" s="3" t="s">
        <v>163</v>
      </c>
      <c r="B24" s="3" t="str">
        <v>AR_h1</v>
      </c>
      <c r="C24" s="4" t="s">
        <v>58</v>
      </c>
      <c r="D24" s="5" t="s">
        <v>119</v>
      </c>
    </row>
    <row r="25" spans="1:4" ht="28.8">
      <c r="A25" s="3" t="s">
        <v>163</v>
      </c>
      <c r="B25" s="3" t="str">
        <v>Taper_h1</v>
      </c>
      <c r="C25" s="4" t="s">
        <v>58</v>
      </c>
      <c r="D25" s="5" t="s">
        <v>121</v>
      </c>
    </row>
    <row r="26" spans="1:4">
      <c r="A26" s="3" t="s">
        <v>163</v>
      </c>
      <c r="B26" s="3" t="str">
        <v>Sweep_h1</v>
      </c>
      <c r="C26" s="4" t="s">
        <v>113</v>
      </c>
      <c r="D26" s="5" t="s">
        <v>123</v>
      </c>
    </row>
    <row r="27" spans="1:4" ht="28.8">
      <c r="A27" s="3" t="s">
        <v>163</v>
      </c>
      <c r="B27" s="3" t="str">
        <v>MAC_h1</v>
      </c>
      <c r="C27" s="4" t="s">
        <v>172</v>
      </c>
      <c r="D27" s="5" t="s">
        <v>124</v>
      </c>
    </row>
    <row r="28" spans="1:4" ht="43.2">
      <c r="A28" s="3" t="s">
        <v>163</v>
      </c>
      <c r="B28" s="3" t="str">
        <v>Q_h1</v>
      </c>
      <c r="C28" s="4" t="s">
        <v>58</v>
      </c>
      <c r="D28" s="5" t="s">
        <v>125</v>
      </c>
    </row>
    <row r="29" spans="1:4" ht="28.8">
      <c r="A29" s="3" t="s">
        <v>163</v>
      </c>
      <c r="B29" s="3" t="str">
        <v>Sref-h2</v>
      </c>
      <c r="C29" s="4" t="s">
        <v>173</v>
      </c>
      <c r="D29" s="5" t="s">
        <v>117</v>
      </c>
    </row>
    <row r="30" spans="1:4" ht="28.8">
      <c r="A30" s="3" t="s">
        <v>163</v>
      </c>
      <c r="B30" s="3" t="str">
        <v>Swet_h2</v>
      </c>
      <c r="C30" s="4" t="s">
        <v>173</v>
      </c>
      <c r="D30" s="5" t="s">
        <v>118</v>
      </c>
    </row>
    <row r="31" spans="1:4">
      <c r="A31" s="3" t="s">
        <v>163</v>
      </c>
      <c r="B31" s="3" t="str">
        <v>AR_h2</v>
      </c>
      <c r="C31" s="4" t="s">
        <v>58</v>
      </c>
      <c r="D31" s="5" t="s">
        <v>120</v>
      </c>
    </row>
    <row r="32" spans="1:4" ht="28.8">
      <c r="A32" s="3" t="s">
        <v>163</v>
      </c>
      <c r="B32" s="3" t="str">
        <v>Taper_h2</v>
      </c>
      <c r="C32" s="4" t="s">
        <v>58</v>
      </c>
      <c r="D32" s="5" t="s">
        <v>122</v>
      </c>
    </row>
    <row r="33" spans="1:4">
      <c r="A33" s="3" t="s">
        <v>163</v>
      </c>
      <c r="B33" s="3" t="str">
        <v>Sweep_h2</v>
      </c>
      <c r="C33" s="4" t="s">
        <v>113</v>
      </c>
      <c r="D33" s="5" t="s">
        <v>126</v>
      </c>
    </row>
    <row r="34" spans="1:4" ht="28.8">
      <c r="A34" s="3" t="s">
        <v>163</v>
      </c>
      <c r="B34" s="3" t="str">
        <v>MAC_h2</v>
      </c>
      <c r="C34" s="4" t="s">
        <v>172</v>
      </c>
      <c r="D34" s="5" t="s">
        <v>127</v>
      </c>
    </row>
    <row r="35" spans="1:4" ht="43.2">
      <c r="A35" s="3" t="s">
        <v>163</v>
      </c>
      <c r="B35" s="3" t="str">
        <v>Q_h2</v>
      </c>
      <c r="C35" s="4" t="s">
        <v>58</v>
      </c>
      <c r="D35" s="5" t="s">
        <v>128</v>
      </c>
    </row>
    <row r="36" spans="1:4" ht="28.8">
      <c r="A36" s="3" t="s">
        <v>163</v>
      </c>
      <c r="B36" s="3" t="str">
        <v>Sref-v1</v>
      </c>
      <c r="C36" s="4" t="s">
        <v>173</v>
      </c>
      <c r="D36" s="5" t="s">
        <v>134</v>
      </c>
    </row>
    <row r="37" spans="1:4" ht="28.8">
      <c r="A37" s="3" t="s">
        <v>163</v>
      </c>
      <c r="B37" s="3" t="str">
        <v>Swet_v1</v>
      </c>
      <c r="C37" s="4" t="s">
        <v>173</v>
      </c>
      <c r="D37" s="5" t="s">
        <v>129</v>
      </c>
    </row>
    <row r="38" spans="1:4">
      <c r="A38" s="3" t="s">
        <v>163</v>
      </c>
      <c r="B38" s="3" t="str">
        <v>AR_v1</v>
      </c>
      <c r="C38" s="4" t="s">
        <v>58</v>
      </c>
      <c r="D38" s="5" t="s">
        <v>130</v>
      </c>
    </row>
    <row r="39" spans="1:4" ht="28.8">
      <c r="A39" s="3" t="s">
        <v>163</v>
      </c>
      <c r="B39" s="3" t="str">
        <v>Taper_v1</v>
      </c>
      <c r="C39" s="4" t="s">
        <v>58</v>
      </c>
      <c r="D39" s="5" t="s">
        <v>131</v>
      </c>
    </row>
    <row r="40" spans="1:4">
      <c r="A40" s="3" t="s">
        <v>163</v>
      </c>
      <c r="B40" s="3" t="str">
        <v>Sweep_v1</v>
      </c>
      <c r="C40" s="4" t="s">
        <v>113</v>
      </c>
      <c r="D40" s="5" t="s">
        <v>132</v>
      </c>
    </row>
    <row r="41" spans="1:4" ht="28.8">
      <c r="A41" s="3" t="s">
        <v>163</v>
      </c>
      <c r="B41" s="3" t="str">
        <v>MAC_v1</v>
      </c>
      <c r="C41" s="4" t="s">
        <v>172</v>
      </c>
      <c r="D41" s="5" t="s">
        <v>133</v>
      </c>
    </row>
    <row r="42" spans="1:4" ht="43.2">
      <c r="A42" s="3" t="s">
        <v>163</v>
      </c>
      <c r="B42" s="3" t="str">
        <v>Q_v1</v>
      </c>
      <c r="C42" s="4" t="s">
        <v>58</v>
      </c>
      <c r="D42" s="5" t="s">
        <v>135</v>
      </c>
    </row>
    <row r="43" spans="1:4" ht="28.8">
      <c r="A43" s="3" t="s">
        <v>163</v>
      </c>
      <c r="B43" s="3" t="str">
        <v>Sref-v2</v>
      </c>
      <c r="C43" s="4" t="s">
        <v>173</v>
      </c>
      <c r="D43" s="5" t="s">
        <v>136</v>
      </c>
    </row>
    <row r="44" spans="1:4" ht="28.8">
      <c r="A44" s="3" t="s">
        <v>163</v>
      </c>
      <c r="B44" s="3" t="str">
        <v>Swet_v2</v>
      </c>
      <c r="C44" s="4" t="s">
        <v>173</v>
      </c>
      <c r="D44" s="5" t="s">
        <v>137</v>
      </c>
    </row>
    <row r="45" spans="1:4">
      <c r="A45" s="3" t="s">
        <v>163</v>
      </c>
      <c r="B45" s="3" t="str">
        <v>AR_v2</v>
      </c>
      <c r="C45" s="4" t="s">
        <v>58</v>
      </c>
      <c r="D45" s="5" t="s">
        <v>138</v>
      </c>
    </row>
    <row r="46" spans="1:4" ht="28.8">
      <c r="A46" s="3" t="s">
        <v>163</v>
      </c>
      <c r="B46" s="3" t="str">
        <v>Taper_v2</v>
      </c>
      <c r="C46" s="4" t="s">
        <v>58</v>
      </c>
      <c r="D46" s="5" t="s">
        <v>139</v>
      </c>
    </row>
    <row r="47" spans="1:4">
      <c r="A47" s="3" t="s">
        <v>163</v>
      </c>
      <c r="B47" s="3" t="str">
        <v>Sweep_v2</v>
      </c>
      <c r="C47" s="4" t="s">
        <v>113</v>
      </c>
      <c r="D47" s="5" t="s">
        <v>140</v>
      </c>
    </row>
    <row r="48" spans="1:4" ht="28.8">
      <c r="A48" s="3" t="s">
        <v>163</v>
      </c>
      <c r="B48" s="3" t="str">
        <v>MAC_v2</v>
      </c>
      <c r="C48" s="4" t="s">
        <v>172</v>
      </c>
      <c r="D48" s="5" t="s">
        <v>141</v>
      </c>
    </row>
    <row r="49" spans="1:4" ht="43.2">
      <c r="A49" s="3" t="s">
        <v>163</v>
      </c>
      <c r="B49" s="3" t="str">
        <v>Q_v2</v>
      </c>
      <c r="C49" s="4" t="s">
        <v>58</v>
      </c>
      <c r="D49" s="5" t="s">
        <v>142</v>
      </c>
    </row>
    <row r="50" spans="1:4">
      <c r="A50" s="24"/>
      <c r="B50" s="24"/>
      <c r="C50" s="25"/>
      <c r="D50" s="26"/>
    </row>
    <row r="51" spans="1:4">
      <c r="A51" s="3" t="s">
        <v>162</v>
      </c>
      <c r="B51" s="3" t="s">
        <v>44</v>
      </c>
      <c r="C51" s="4" t="s">
        <v>58</v>
      </c>
      <c r="D51" s="5" t="s">
        <v>192</v>
      </c>
    </row>
    <row r="52" spans="1:4">
      <c r="A52" s="3" t="s">
        <v>162</v>
      </c>
      <c r="B52" s="3" t="s">
        <v>53</v>
      </c>
      <c r="C52" s="4" t="s">
        <v>58</v>
      </c>
      <c r="D52" s="5" t="s">
        <v>145</v>
      </c>
    </row>
    <row r="53" spans="1:4">
      <c r="A53" s="3" t="s">
        <v>162</v>
      </c>
      <c r="B53" s="3" t="s">
        <v>50</v>
      </c>
      <c r="C53" s="4" t="s">
        <v>58</v>
      </c>
      <c r="D53" s="5" t="s">
        <v>146</v>
      </c>
    </row>
    <row r="54" spans="1:4">
      <c r="A54" s="3" t="s">
        <v>162</v>
      </c>
      <c r="B54" s="3" t="s">
        <v>51</v>
      </c>
      <c r="C54" s="4" t="s">
        <v>58</v>
      </c>
      <c r="D54" s="5" t="s">
        <v>147</v>
      </c>
    </row>
    <row r="55" spans="1:4">
      <c r="A55" s="3" t="s">
        <v>162</v>
      </c>
      <c r="B55" s="3" t="s">
        <v>144</v>
      </c>
      <c r="C55" s="4" t="s">
        <v>58</v>
      </c>
      <c r="D55" s="5" t="s">
        <v>174</v>
      </c>
    </row>
    <row r="56" spans="1:4">
      <c r="A56" s="3" t="s">
        <v>162</v>
      </c>
      <c r="B56" s="3" t="s">
        <v>77</v>
      </c>
      <c r="C56" s="4" t="s">
        <v>58</v>
      </c>
      <c r="D56" s="5" t="s">
        <v>176</v>
      </c>
    </row>
    <row r="57" spans="1:4">
      <c r="A57" s="3" t="s">
        <v>162</v>
      </c>
      <c r="B57" s="3" t="s">
        <v>143</v>
      </c>
      <c r="C57" s="4" t="s">
        <v>58</v>
      </c>
      <c r="D57" s="5" t="s">
        <v>175</v>
      </c>
    </row>
    <row r="58" spans="1:4">
      <c r="A58" s="3" t="s">
        <v>162</v>
      </c>
      <c r="B58" s="3" t="s">
        <v>96</v>
      </c>
      <c r="C58" s="4" t="s">
        <v>58</v>
      </c>
      <c r="D58" s="5" t="s">
        <v>148</v>
      </c>
    </row>
    <row r="59" spans="1:4">
      <c r="A59" s="3" t="s">
        <v>162</v>
      </c>
      <c r="B59" s="3" t="s">
        <v>54</v>
      </c>
      <c r="C59" s="4" t="s">
        <v>58</v>
      </c>
      <c r="D59" s="5" t="s">
        <v>149</v>
      </c>
    </row>
    <row r="60" spans="1:4">
      <c r="A60" s="3" t="s">
        <v>162</v>
      </c>
      <c r="B60" s="3" t="s">
        <v>8</v>
      </c>
      <c r="C60" s="4" t="s">
        <v>58</v>
      </c>
      <c r="D60" s="5" t="s">
        <v>151</v>
      </c>
    </row>
    <row r="61" spans="1:4">
      <c r="A61" s="3" t="s">
        <v>162</v>
      </c>
      <c r="B61" s="3" t="s">
        <v>9</v>
      </c>
      <c r="C61" s="4" t="s">
        <v>58</v>
      </c>
      <c r="D61" s="5" t="s">
        <v>152</v>
      </c>
    </row>
    <row r="62" spans="1:4">
      <c r="A62" s="3" t="s">
        <v>162</v>
      </c>
      <c r="B62" s="3" t="s">
        <v>55</v>
      </c>
      <c r="C62" s="4" t="s">
        <v>58</v>
      </c>
      <c r="D62" s="5" t="s">
        <v>150</v>
      </c>
    </row>
    <row r="63" spans="1:4">
      <c r="A63" s="3" t="s">
        <v>162</v>
      </c>
      <c r="B63" s="3" t="s">
        <v>18</v>
      </c>
      <c r="C63" s="4" t="s">
        <v>58</v>
      </c>
      <c r="D63" s="5" t="s">
        <v>153</v>
      </c>
    </row>
    <row r="64" spans="1:4">
      <c r="A64" s="3" t="s">
        <v>162</v>
      </c>
      <c r="B64" s="3" t="s">
        <v>19</v>
      </c>
      <c r="C64" s="4" t="s">
        <v>58</v>
      </c>
      <c r="D64" s="5" t="s">
        <v>154</v>
      </c>
    </row>
    <row r="65" spans="1:4">
      <c r="A65" s="3" t="s">
        <v>162</v>
      </c>
      <c r="B65" s="3" t="s">
        <v>56</v>
      </c>
      <c r="C65" s="4" t="s">
        <v>58</v>
      </c>
      <c r="D65" s="5" t="s">
        <v>155</v>
      </c>
    </row>
    <row r="66" spans="1:4">
      <c r="A66" s="3" t="s">
        <v>162</v>
      </c>
      <c r="B66" s="3" t="s">
        <v>13</v>
      </c>
      <c r="C66" s="4" t="s">
        <v>58</v>
      </c>
      <c r="D66" s="5" t="s">
        <v>156</v>
      </c>
    </row>
    <row r="67" spans="1:4">
      <c r="A67" s="3" t="s">
        <v>162</v>
      </c>
      <c r="B67" s="3" t="s">
        <v>14</v>
      </c>
      <c r="C67" s="4" t="s">
        <v>58</v>
      </c>
      <c r="D67" s="5" t="s">
        <v>157</v>
      </c>
    </row>
    <row r="68" spans="1:4">
      <c r="A68" s="3" t="s">
        <v>162</v>
      </c>
      <c r="B68" s="3" t="s">
        <v>57</v>
      </c>
      <c r="C68" s="4" t="s">
        <v>58</v>
      </c>
      <c r="D68" s="5" t="s">
        <v>158</v>
      </c>
    </row>
    <row r="69" spans="1:4">
      <c r="A69" s="3" t="s">
        <v>162</v>
      </c>
      <c r="B69" s="3" t="s">
        <v>32</v>
      </c>
      <c r="C69" s="4" t="s">
        <v>58</v>
      </c>
      <c r="D69" s="5" t="s">
        <v>159</v>
      </c>
    </row>
    <row r="70" spans="1:4">
      <c r="A70" s="3" t="s">
        <v>162</v>
      </c>
      <c r="B70" s="3" t="s">
        <v>33</v>
      </c>
      <c r="C70" s="4" t="s">
        <v>58</v>
      </c>
      <c r="D70" s="5" t="s">
        <v>160</v>
      </c>
    </row>
    <row r="71" spans="1:4">
      <c r="A71" s="21"/>
      <c r="B71" s="21"/>
      <c r="C71" s="25"/>
      <c r="D71" s="27"/>
    </row>
    <row r="72" spans="1:4">
      <c r="A72" s="3" t="s">
        <v>191</v>
      </c>
      <c r="B72" s="3" t="str" cm="1">
        <f t="array" ref="B72:B82">TRANSPOSE([1]Propulsion!A1:K1)</f>
        <v>Config</v>
      </c>
      <c r="C72" s="4" t="s">
        <v>58</v>
      </c>
      <c r="D72" s="5" t="s">
        <v>192</v>
      </c>
    </row>
    <row r="73" spans="1:4" ht="28.8">
      <c r="A73" s="3" t="s">
        <v>191</v>
      </c>
      <c r="B73" s="3" t="str">
        <v>PropType</v>
      </c>
      <c r="C73" s="4" t="s">
        <v>58</v>
      </c>
      <c r="D73" s="5" t="s">
        <v>193</v>
      </c>
    </row>
    <row r="74" spans="1:4">
      <c r="A74" s="3" t="s">
        <v>191</v>
      </c>
      <c r="B74" s="3" t="str">
        <v>Number</v>
      </c>
      <c r="C74" s="4" t="s">
        <v>58</v>
      </c>
      <c r="D74" s="5" t="s">
        <v>198</v>
      </c>
    </row>
    <row r="75" spans="1:4">
      <c r="A75" s="3" t="s">
        <v>191</v>
      </c>
      <c r="B75" s="3" t="str">
        <v>TA_mil_sl</v>
      </c>
      <c r="C75" s="4" t="s">
        <v>194</v>
      </c>
      <c r="D75" s="5" t="s">
        <v>199</v>
      </c>
    </row>
    <row r="76" spans="1:4">
      <c r="A76" s="3" t="s">
        <v>191</v>
      </c>
      <c r="B76" s="3" t="str">
        <v>TSFC_mil_sl</v>
      </c>
      <c r="C76" s="4" t="s">
        <v>195</v>
      </c>
      <c r="D76" s="5" t="s">
        <v>200</v>
      </c>
    </row>
    <row r="77" spans="1:4" ht="28.8">
      <c r="A77" s="3" t="s">
        <v>191</v>
      </c>
      <c r="B77" s="3" t="str">
        <v>TA_AB_sl</v>
      </c>
      <c r="C77" s="4" t="s">
        <v>194</v>
      </c>
      <c r="D77" s="5" t="s">
        <v>202</v>
      </c>
    </row>
    <row r="78" spans="1:4" ht="28.8">
      <c r="A78" s="3" t="s">
        <v>191</v>
      </c>
      <c r="B78" s="3" t="str">
        <v>TSFC_AB_sl</v>
      </c>
      <c r="C78" s="4" t="s">
        <v>195</v>
      </c>
      <c r="D78" s="5" t="s">
        <v>201</v>
      </c>
    </row>
    <row r="79" spans="1:4">
      <c r="A79" s="3" t="s">
        <v>191</v>
      </c>
      <c r="B79" s="3" t="str">
        <v>Install_loss</v>
      </c>
      <c r="C79" s="4" t="s">
        <v>58</v>
      </c>
      <c r="D79" s="5" t="s">
        <v>203</v>
      </c>
    </row>
    <row r="80" spans="1:4">
      <c r="A80" s="3" t="s">
        <v>191</v>
      </c>
      <c r="B80" s="3" t="str">
        <v>PA_shp_sl</v>
      </c>
      <c r="C80" s="4" t="s">
        <v>196</v>
      </c>
      <c r="D80" s="5" t="s">
        <v>204</v>
      </c>
    </row>
    <row r="81" spans="1:4">
      <c r="A81" s="3" t="s">
        <v>191</v>
      </c>
      <c r="B81" s="3" t="str">
        <v>SFC_sl</v>
      </c>
      <c r="C81" s="4" t="s">
        <v>197</v>
      </c>
      <c r="D81" s="5" t="s">
        <v>205</v>
      </c>
    </row>
    <row r="82" spans="1:4">
      <c r="A82" s="3" t="s">
        <v>191</v>
      </c>
      <c r="B82" s="3" t="str">
        <v>Prop_eff</v>
      </c>
      <c r="C82" s="4" t="s">
        <v>58</v>
      </c>
      <c r="D82" s="5" t="s">
        <v>206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DD393-55AB-49FB-9382-D2896E9EB980}">
  <dimension ref="A1:AV21"/>
  <sheetViews>
    <sheetView zoomScale="166" workbookViewId="0">
      <selection activeCell="F20" sqref="F20"/>
    </sheetView>
  </sheetViews>
  <sheetFormatPr defaultColWidth="8.77734375" defaultRowHeight="14.4"/>
  <cols>
    <col min="1" max="1" width="8.77734375" style="4"/>
    <col min="2" max="2" width="26.6640625" style="4" customWidth="1"/>
    <col min="3" max="3" width="9.77734375" style="4" customWidth="1"/>
    <col min="4" max="12" width="8.77734375" style="4"/>
    <col min="13" max="13" width="6.77734375" style="4" customWidth="1"/>
    <col min="14" max="14" width="8.77734375" style="4"/>
    <col min="15" max="15" width="12" style="4" bestFit="1" customWidth="1"/>
    <col min="16" max="16" width="8.77734375" style="4"/>
    <col min="17" max="17" width="10.44140625" style="4" customWidth="1"/>
    <col min="18" max="18" width="16.109375" style="4" bestFit="1" customWidth="1"/>
    <col min="19" max="19" width="15.77734375" style="4" bestFit="1" customWidth="1"/>
    <col min="20" max="35" width="8.77734375" style="4"/>
    <col min="36" max="36" width="12" style="4" bestFit="1" customWidth="1"/>
    <col min="37" max="16384" width="8.77734375" style="4"/>
  </cols>
  <sheetData>
    <row r="1" spans="1:48">
      <c r="A1" s="12" t="s">
        <v>44</v>
      </c>
      <c r="B1" s="12" t="s">
        <v>208</v>
      </c>
      <c r="C1" s="12" t="s">
        <v>5</v>
      </c>
      <c r="D1" s="12" t="s">
        <v>169</v>
      </c>
      <c r="E1" s="12" t="s">
        <v>178</v>
      </c>
      <c r="F1" s="12" t="s">
        <v>0</v>
      </c>
      <c r="G1" s="12" t="s">
        <v>1</v>
      </c>
      <c r="H1" s="12" t="s">
        <v>2</v>
      </c>
      <c r="I1" s="12" t="s">
        <v>3</v>
      </c>
      <c r="J1" s="12" t="s">
        <v>4</v>
      </c>
      <c r="K1" s="12" t="s">
        <v>22</v>
      </c>
      <c r="L1" s="12" t="s">
        <v>6</v>
      </c>
      <c r="M1" s="12" t="s">
        <v>177</v>
      </c>
      <c r="N1" s="13" t="s">
        <v>45</v>
      </c>
      <c r="O1" s="13" t="s">
        <v>46</v>
      </c>
      <c r="P1" s="13" t="s">
        <v>47</v>
      </c>
      <c r="Q1" s="13" t="s">
        <v>48</v>
      </c>
      <c r="R1" s="13" t="s">
        <v>49</v>
      </c>
      <c r="S1" s="13" t="s">
        <v>97</v>
      </c>
      <c r="T1" s="13" t="s">
        <v>52</v>
      </c>
      <c r="U1" s="14" t="s">
        <v>23</v>
      </c>
      <c r="V1" s="14" t="s">
        <v>24</v>
      </c>
      <c r="W1" s="14" t="s">
        <v>36</v>
      </c>
      <c r="X1" s="14" t="s">
        <v>37</v>
      </c>
      <c r="Y1" s="14" t="s">
        <v>10</v>
      </c>
      <c r="Z1" s="14" t="s">
        <v>7</v>
      </c>
      <c r="AA1" s="14" t="s">
        <v>11</v>
      </c>
      <c r="AB1" s="15" t="s">
        <v>25</v>
      </c>
      <c r="AC1" s="15" t="s">
        <v>26</v>
      </c>
      <c r="AD1" s="15" t="s">
        <v>38</v>
      </c>
      <c r="AE1" s="15" t="s">
        <v>39</v>
      </c>
      <c r="AF1" s="15" t="s">
        <v>20</v>
      </c>
      <c r="AG1" s="15" t="s">
        <v>17</v>
      </c>
      <c r="AH1" s="15" t="s">
        <v>21</v>
      </c>
      <c r="AI1" s="16" t="s">
        <v>27</v>
      </c>
      <c r="AJ1" s="16" t="s">
        <v>28</v>
      </c>
      <c r="AK1" s="16" t="s">
        <v>40</v>
      </c>
      <c r="AL1" s="16" t="s">
        <v>41</v>
      </c>
      <c r="AM1" s="16" t="s">
        <v>15</v>
      </c>
      <c r="AN1" s="16" t="s">
        <v>12</v>
      </c>
      <c r="AO1" s="16" t="s">
        <v>16</v>
      </c>
      <c r="AP1" s="17" t="s">
        <v>29</v>
      </c>
      <c r="AQ1" s="17" t="s">
        <v>30</v>
      </c>
      <c r="AR1" s="17" t="s">
        <v>42</v>
      </c>
      <c r="AS1" s="17" t="s">
        <v>43</v>
      </c>
      <c r="AT1" s="17" t="s">
        <v>35</v>
      </c>
      <c r="AU1" s="17" t="s">
        <v>31</v>
      </c>
      <c r="AV1" s="17" t="s">
        <v>34</v>
      </c>
    </row>
    <row r="2" spans="1:48">
      <c r="A2" s="4" t="s">
        <v>180</v>
      </c>
      <c r="B2" s="4" t="s">
        <v>209</v>
      </c>
      <c r="C2" s="4">
        <v>0</v>
      </c>
      <c r="D2" s="4">
        <v>0.85</v>
      </c>
      <c r="E2" s="4">
        <v>1.6</v>
      </c>
      <c r="F2" s="4">
        <v>46.5</v>
      </c>
      <c r="G2" s="4">
        <v>4.5</v>
      </c>
      <c r="H2" s="4">
        <f t="shared" ref="H2:H7" si="0">F2/G2</f>
        <v>10.333333333333334</v>
      </c>
      <c r="I2" s="4">
        <v>22.49</v>
      </c>
      <c r="J2" s="4">
        <v>13.853999999999999</v>
      </c>
      <c r="K2" s="4">
        <v>657.38</v>
      </c>
      <c r="L2" s="4">
        <v>1</v>
      </c>
      <c r="M2" s="4">
        <v>2.2000000000000002</v>
      </c>
      <c r="N2" s="4">
        <v>300</v>
      </c>
      <c r="O2" s="4">
        <v>451.24</v>
      </c>
      <c r="P2" s="4">
        <v>3</v>
      </c>
      <c r="Q2" s="4">
        <v>0.21</v>
      </c>
      <c r="R2" s="4">
        <v>40</v>
      </c>
      <c r="S2" s="4">
        <v>30</v>
      </c>
      <c r="T2" s="4">
        <v>1.1000000000000001</v>
      </c>
      <c r="U2" s="4">
        <v>123.83</v>
      </c>
      <c r="V2" s="4">
        <v>149.99</v>
      </c>
      <c r="W2" s="4">
        <v>2.5670000000000002</v>
      </c>
      <c r="X2" s="4">
        <v>0.28000000000000003</v>
      </c>
      <c r="Y2" s="4">
        <v>40</v>
      </c>
      <c r="Z2" s="4">
        <v>7.68</v>
      </c>
      <c r="AA2" s="4">
        <v>1.1000000000000001</v>
      </c>
      <c r="AB2" s="4">
        <v>0</v>
      </c>
      <c r="AC2" s="4">
        <v>0</v>
      </c>
      <c r="AD2" s="4">
        <v>0</v>
      </c>
      <c r="AE2" s="4">
        <v>0</v>
      </c>
      <c r="AF2" s="4">
        <v>0</v>
      </c>
      <c r="AG2" s="4">
        <v>0</v>
      </c>
      <c r="AH2" s="4">
        <v>0</v>
      </c>
      <c r="AI2" s="4">
        <v>64</v>
      </c>
      <c r="AJ2" s="4">
        <v>80.959999999999994</v>
      </c>
      <c r="AK2" s="4">
        <v>1.6</v>
      </c>
      <c r="AL2" s="4">
        <v>0.21</v>
      </c>
      <c r="AM2" s="4">
        <v>40</v>
      </c>
      <c r="AN2" s="4">
        <v>7.22</v>
      </c>
      <c r="AO2" s="4">
        <v>1.1000000000000001</v>
      </c>
      <c r="AP2" s="4">
        <v>0</v>
      </c>
      <c r="AQ2" s="4">
        <v>0</v>
      </c>
      <c r="AR2" s="4">
        <v>0</v>
      </c>
      <c r="AS2" s="4">
        <v>0</v>
      </c>
      <c r="AT2" s="4">
        <v>0</v>
      </c>
      <c r="AU2" s="4">
        <v>0</v>
      </c>
      <c r="AV2" s="4">
        <v>0</v>
      </c>
    </row>
    <row r="3" spans="1:48">
      <c r="A3" s="4" t="s">
        <v>213</v>
      </c>
      <c r="B3" s="4" t="s">
        <v>230</v>
      </c>
      <c r="C3" s="4">
        <v>0</v>
      </c>
      <c r="D3" s="4">
        <v>0.18</v>
      </c>
      <c r="E3" s="4">
        <v>0.3</v>
      </c>
      <c r="F3" s="4">
        <v>27</v>
      </c>
      <c r="G3" s="4">
        <v>4</v>
      </c>
      <c r="H3" s="4">
        <f t="shared" si="0"/>
        <v>6.75</v>
      </c>
      <c r="I3" s="4">
        <v>12.56</v>
      </c>
      <c r="J3" s="4">
        <v>0</v>
      </c>
      <c r="K3" s="4">
        <v>280</v>
      </c>
      <c r="L3" s="4">
        <v>1</v>
      </c>
      <c r="M3" s="4">
        <v>1</v>
      </c>
      <c r="N3" s="4">
        <v>174</v>
      </c>
      <c r="O3" s="4">
        <v>380</v>
      </c>
      <c r="P3" s="4">
        <v>7.32</v>
      </c>
      <c r="Q3" s="4">
        <v>0.67200000000000004</v>
      </c>
      <c r="R3" s="4">
        <v>0</v>
      </c>
      <c r="S3" s="4">
        <v>0</v>
      </c>
      <c r="T3" s="4">
        <v>1.1000000000000001</v>
      </c>
      <c r="U3" s="4">
        <v>36.6</v>
      </c>
      <c r="V3" s="4">
        <v>80</v>
      </c>
      <c r="W3" s="4">
        <v>3.5</v>
      </c>
      <c r="X3" s="4">
        <v>0.56999999999999995</v>
      </c>
      <c r="Y3" s="4">
        <v>0</v>
      </c>
      <c r="Z3" s="4">
        <v>3.61</v>
      </c>
      <c r="AA3" s="4">
        <v>1.1000000000000001</v>
      </c>
      <c r="AB3" s="4">
        <v>0</v>
      </c>
      <c r="AC3" s="4">
        <v>0</v>
      </c>
      <c r="AD3" s="4">
        <v>0</v>
      </c>
      <c r="AE3" s="4">
        <v>0</v>
      </c>
      <c r="AF3" s="4">
        <v>0</v>
      </c>
      <c r="AG3" s="4">
        <v>0</v>
      </c>
      <c r="AH3" s="4">
        <v>0</v>
      </c>
      <c r="AI3" s="4">
        <v>11.2</v>
      </c>
      <c r="AJ3" s="4">
        <v>25</v>
      </c>
      <c r="AK3" s="4">
        <v>1.6</v>
      </c>
      <c r="AL3" s="4">
        <v>0.4</v>
      </c>
      <c r="AM3" s="4">
        <v>0</v>
      </c>
      <c r="AN3" s="4">
        <v>4</v>
      </c>
      <c r="AO3" s="4">
        <v>1.1000000000000001</v>
      </c>
      <c r="AP3" s="4">
        <v>0</v>
      </c>
      <c r="AQ3" s="4">
        <v>0</v>
      </c>
      <c r="AR3" s="4">
        <v>0</v>
      </c>
      <c r="AS3" s="4">
        <v>0</v>
      </c>
      <c r="AT3" s="4">
        <v>0</v>
      </c>
      <c r="AU3" s="4">
        <v>0</v>
      </c>
      <c r="AV3" s="4">
        <v>0</v>
      </c>
    </row>
    <row r="4" spans="1:48">
      <c r="A4" s="4" t="s">
        <v>215</v>
      </c>
      <c r="B4" s="4" t="s">
        <v>211</v>
      </c>
      <c r="C4" s="4">
        <v>0</v>
      </c>
      <c r="D4" s="4">
        <v>0.85</v>
      </c>
      <c r="E4" s="4">
        <v>0.85</v>
      </c>
      <c r="F4" s="4">
        <v>231.83</v>
      </c>
      <c r="G4" s="4">
        <v>21.3</v>
      </c>
      <c r="H4" s="4">
        <f t="shared" si="0"/>
        <v>10.884037558685446</v>
      </c>
      <c r="I4" s="4">
        <f>PI()*(G4/2)^2</f>
        <v>356.32729275178838</v>
      </c>
      <c r="J4" s="4">
        <v>0</v>
      </c>
      <c r="K4" s="4">
        <v>13000</v>
      </c>
      <c r="L4" s="4">
        <v>1</v>
      </c>
      <c r="M4" s="4">
        <v>1</v>
      </c>
      <c r="N4" s="4">
        <v>5500</v>
      </c>
      <c r="O4" s="4">
        <f>2*N4</f>
        <v>11000</v>
      </c>
      <c r="P4" s="4">
        <v>7</v>
      </c>
      <c r="Q4" s="4">
        <v>0.25</v>
      </c>
      <c r="R4" s="4">
        <v>37.5</v>
      </c>
      <c r="S4" s="4">
        <v>30</v>
      </c>
      <c r="T4" s="4">
        <v>1.1000000000000001</v>
      </c>
      <c r="U4" s="4">
        <f>V4/2</f>
        <v>1244.3080500000001</v>
      </c>
      <c r="V4" s="4">
        <v>2488.6161000000002</v>
      </c>
      <c r="W4" s="4">
        <f>(70^2)/U4</f>
        <v>3.9379316078522515</v>
      </c>
      <c r="X4" s="4">
        <v>0.2</v>
      </c>
      <c r="Y4" s="4">
        <v>37.5</v>
      </c>
      <c r="Z4" s="4">
        <v>18.3</v>
      </c>
      <c r="AA4" s="4">
        <v>1.1000000000000001</v>
      </c>
      <c r="AB4" s="4">
        <v>0</v>
      </c>
      <c r="AC4" s="4">
        <v>0</v>
      </c>
      <c r="AD4" s="4">
        <v>0</v>
      </c>
      <c r="AE4" s="4">
        <v>0</v>
      </c>
      <c r="AF4" s="4">
        <v>0</v>
      </c>
      <c r="AG4" s="4">
        <v>0</v>
      </c>
      <c r="AH4" s="4">
        <v>0</v>
      </c>
      <c r="AI4" s="4">
        <v>908</v>
      </c>
      <c r="AJ4" s="4">
        <f>AI4*2</f>
        <v>1816</v>
      </c>
      <c r="AK4" s="4">
        <v>1.4</v>
      </c>
      <c r="AL4" s="4">
        <v>0.2</v>
      </c>
      <c r="AM4" s="4">
        <v>37.5</v>
      </c>
      <c r="AN4" s="4">
        <v>29</v>
      </c>
      <c r="AO4" s="4">
        <v>1.1000000000000001</v>
      </c>
      <c r="AP4" s="4">
        <v>0</v>
      </c>
      <c r="AQ4" s="4">
        <v>0</v>
      </c>
      <c r="AR4" s="4">
        <v>0</v>
      </c>
      <c r="AS4" s="4">
        <v>0</v>
      </c>
      <c r="AT4" s="4">
        <v>0</v>
      </c>
      <c r="AU4" s="4">
        <v>0</v>
      </c>
      <c r="AV4" s="4">
        <v>0</v>
      </c>
    </row>
    <row r="5" spans="1:48">
      <c r="A5" s="4" t="s">
        <v>216</v>
      </c>
      <c r="B5" s="4" t="s">
        <v>210</v>
      </c>
      <c r="C5" s="4">
        <v>0</v>
      </c>
      <c r="D5" s="4">
        <v>0.6</v>
      </c>
      <c r="E5" s="4">
        <v>1.05</v>
      </c>
      <c r="F5" s="4">
        <v>43.08</v>
      </c>
      <c r="G5" s="4">
        <v>4.5999999999999996</v>
      </c>
      <c r="H5" s="4">
        <f t="shared" si="0"/>
        <v>9.3652173913043484</v>
      </c>
      <c r="I5" s="4">
        <v>16.600000000000001</v>
      </c>
      <c r="J5" s="4">
        <v>0</v>
      </c>
      <c r="K5" s="4">
        <v>793</v>
      </c>
      <c r="L5" s="4">
        <v>1</v>
      </c>
      <c r="M5" s="4">
        <v>2</v>
      </c>
      <c r="N5" s="4">
        <v>170</v>
      </c>
      <c r="O5" s="4">
        <f>2*170</f>
        <v>340</v>
      </c>
      <c r="P5" s="4">
        <v>3.75</v>
      </c>
      <c r="Q5" s="4">
        <v>0.2</v>
      </c>
      <c r="R5" s="4">
        <v>31.8</v>
      </c>
      <c r="S5" s="4">
        <v>24</v>
      </c>
      <c r="T5" s="4">
        <v>1.1000000000000001</v>
      </c>
      <c r="U5" s="4">
        <v>59</v>
      </c>
      <c r="V5" s="4">
        <f>2*59</f>
        <v>118</v>
      </c>
      <c r="W5" s="4">
        <v>2.82</v>
      </c>
      <c r="X5" s="4">
        <v>0.33</v>
      </c>
      <c r="Y5" s="4">
        <v>30</v>
      </c>
      <c r="Z5" s="4">
        <v>4.5999999999999996</v>
      </c>
      <c r="AA5" s="4">
        <v>1.1000000000000001</v>
      </c>
      <c r="AB5" s="4">
        <v>0</v>
      </c>
      <c r="AC5" s="4">
        <v>0</v>
      </c>
      <c r="AD5" s="4">
        <v>0</v>
      </c>
      <c r="AE5" s="4">
        <v>0</v>
      </c>
      <c r="AF5" s="4">
        <v>0</v>
      </c>
      <c r="AG5" s="4">
        <v>0</v>
      </c>
      <c r="AH5" s="4">
        <v>0</v>
      </c>
      <c r="AI5" s="4">
        <v>41.42</v>
      </c>
      <c r="AJ5" s="4">
        <f>2*AI5</f>
        <v>82.84</v>
      </c>
      <c r="AK5" s="4">
        <v>1.21</v>
      </c>
      <c r="AL5" s="4">
        <v>0.25</v>
      </c>
      <c r="AM5" s="4">
        <v>30</v>
      </c>
      <c r="AN5" s="4">
        <v>5.85</v>
      </c>
      <c r="AO5" s="4">
        <v>1.1000000000000001</v>
      </c>
      <c r="AP5" s="4">
        <v>0</v>
      </c>
      <c r="AQ5" s="4">
        <v>0</v>
      </c>
      <c r="AR5" s="4">
        <v>0</v>
      </c>
      <c r="AS5" s="4">
        <v>0</v>
      </c>
      <c r="AT5" s="4">
        <v>0</v>
      </c>
      <c r="AU5" s="4">
        <v>0</v>
      </c>
      <c r="AV5" s="4">
        <v>0</v>
      </c>
    </row>
    <row r="6" spans="1:48">
      <c r="A6" s="4" t="s">
        <v>220</v>
      </c>
      <c r="B6" s="4" t="s">
        <v>240</v>
      </c>
      <c r="C6" s="4">
        <v>0</v>
      </c>
      <c r="D6" s="4">
        <v>0.18</v>
      </c>
      <c r="E6" s="4">
        <v>0.3</v>
      </c>
      <c r="F6" s="4">
        <v>27</v>
      </c>
      <c r="G6" s="4">
        <v>4</v>
      </c>
      <c r="H6" s="4">
        <f t="shared" si="0"/>
        <v>6.75</v>
      </c>
      <c r="I6" s="4">
        <v>12.56</v>
      </c>
      <c r="J6" s="4">
        <v>0</v>
      </c>
      <c r="K6" s="4">
        <v>280</v>
      </c>
      <c r="L6" s="4">
        <v>1</v>
      </c>
      <c r="M6" s="4">
        <v>1</v>
      </c>
      <c r="N6" s="4">
        <v>174</v>
      </c>
      <c r="O6" s="4">
        <v>380</v>
      </c>
      <c r="P6" s="4">
        <v>7.32</v>
      </c>
      <c r="Q6" s="4">
        <v>0.67200000000000004</v>
      </c>
      <c r="R6" s="4">
        <v>0</v>
      </c>
      <c r="S6" s="4">
        <v>0</v>
      </c>
      <c r="T6" s="4">
        <v>1.1000000000000001</v>
      </c>
      <c r="U6" s="4">
        <v>36.6</v>
      </c>
      <c r="V6" s="4">
        <v>80</v>
      </c>
      <c r="W6" s="4">
        <v>3.5</v>
      </c>
      <c r="X6" s="4">
        <v>0.56999999999999995</v>
      </c>
      <c r="Y6" s="4">
        <v>0</v>
      </c>
      <c r="Z6" s="4">
        <v>3.61</v>
      </c>
      <c r="AA6" s="4">
        <v>1.1000000000000001</v>
      </c>
      <c r="AB6" s="4">
        <v>0</v>
      </c>
      <c r="AC6" s="4">
        <v>0</v>
      </c>
      <c r="AD6" s="4">
        <v>0</v>
      </c>
      <c r="AE6" s="4">
        <v>0</v>
      </c>
      <c r="AF6" s="4">
        <v>0</v>
      </c>
      <c r="AG6" s="4">
        <v>0</v>
      </c>
      <c r="AH6" s="4">
        <v>0</v>
      </c>
      <c r="AI6" s="4">
        <v>11.2</v>
      </c>
      <c r="AJ6" s="4">
        <v>25</v>
      </c>
      <c r="AK6" s="4">
        <v>1.6</v>
      </c>
      <c r="AL6" s="4">
        <v>0.4</v>
      </c>
      <c r="AM6" s="4">
        <v>0</v>
      </c>
      <c r="AN6" s="4">
        <v>4</v>
      </c>
      <c r="AO6" s="4">
        <v>1.1000000000000001</v>
      </c>
      <c r="AP6" s="4">
        <v>0</v>
      </c>
      <c r="AQ6" s="4">
        <v>0</v>
      </c>
      <c r="AR6" s="4">
        <v>0</v>
      </c>
      <c r="AS6" s="4">
        <v>0</v>
      </c>
      <c r="AT6" s="4">
        <v>0</v>
      </c>
      <c r="AU6" s="4">
        <v>0</v>
      </c>
      <c r="AV6" s="4">
        <v>0</v>
      </c>
    </row>
    <row r="7" spans="1:48">
      <c r="A7" s="4" t="s">
        <v>243</v>
      </c>
      <c r="B7" s="4" t="s">
        <v>233</v>
      </c>
      <c r="C7" s="4">
        <v>0</v>
      </c>
      <c r="D7" s="4">
        <v>0.5</v>
      </c>
      <c r="E7" s="4">
        <v>0.6</v>
      </c>
      <c r="F7" s="4">
        <v>57</v>
      </c>
      <c r="G7" s="4">
        <v>10</v>
      </c>
      <c r="H7" s="4">
        <f t="shared" si="0"/>
        <v>5.7</v>
      </c>
      <c r="I7" s="4">
        <f>PI()*(G7/2)^2</f>
        <v>78.539816339744831</v>
      </c>
      <c r="J7" s="4">
        <v>0</v>
      </c>
      <c r="K7" s="4">
        <f>2500</f>
        <v>2500</v>
      </c>
      <c r="L7" s="4">
        <v>1</v>
      </c>
      <c r="M7" s="4">
        <v>2</v>
      </c>
      <c r="N7" s="4">
        <v>301</v>
      </c>
      <c r="O7" s="4">
        <v>620</v>
      </c>
      <c r="P7" s="4">
        <v>6</v>
      </c>
      <c r="Q7" s="4">
        <v>0.9</v>
      </c>
      <c r="R7" s="4">
        <v>0</v>
      </c>
      <c r="S7" s="4">
        <v>0</v>
      </c>
      <c r="T7" s="4">
        <v>1.1000000000000001</v>
      </c>
      <c r="U7" s="4">
        <v>180</v>
      </c>
      <c r="V7" s="4">
        <v>200</v>
      </c>
      <c r="W7" s="4">
        <v>3</v>
      </c>
      <c r="X7" s="4">
        <v>0.9</v>
      </c>
      <c r="Y7" s="4">
        <v>0</v>
      </c>
      <c r="Z7" s="4">
        <v>10</v>
      </c>
      <c r="AA7" s="4">
        <v>1.1000000000000001</v>
      </c>
      <c r="AB7" s="4">
        <v>0</v>
      </c>
      <c r="AC7" s="4">
        <v>0</v>
      </c>
      <c r="AD7" s="4">
        <v>0</v>
      </c>
      <c r="AE7" s="4">
        <v>0</v>
      </c>
      <c r="AF7" s="4">
        <v>0</v>
      </c>
      <c r="AG7" s="4">
        <v>0</v>
      </c>
      <c r="AH7" s="4">
        <v>0</v>
      </c>
      <c r="AI7" s="4">
        <v>100</v>
      </c>
      <c r="AJ7" s="4">
        <v>140</v>
      </c>
      <c r="AK7" s="4">
        <v>1.2</v>
      </c>
      <c r="AL7" s="4">
        <v>0.9</v>
      </c>
      <c r="AM7" s="4">
        <v>0</v>
      </c>
      <c r="AN7" s="4">
        <v>7</v>
      </c>
      <c r="AO7" s="4">
        <v>1.1000000000000001</v>
      </c>
      <c r="AP7" s="4">
        <v>0</v>
      </c>
      <c r="AQ7" s="4">
        <v>0</v>
      </c>
      <c r="AR7" s="4">
        <v>0</v>
      </c>
      <c r="AS7" s="4">
        <v>0</v>
      </c>
      <c r="AT7" s="4">
        <v>0</v>
      </c>
      <c r="AU7" s="4">
        <v>0</v>
      </c>
      <c r="AV7" s="4">
        <v>0</v>
      </c>
    </row>
    <row r="21" s="22" customFormat="1"/>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590D030-182F-4E24-8C9C-9031CCA14979}">
          <x14:formula1>
            <xm:f>Lists!$B$2:$B$19</xm:f>
          </x14:formula1>
          <xm:sqref>B2:B20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960B4-04F0-4DA1-BF31-3569558CC234}">
  <dimension ref="A1:BB21"/>
  <sheetViews>
    <sheetView workbookViewId="0">
      <selection activeCell="C7" sqref="C7"/>
    </sheetView>
  </sheetViews>
  <sheetFormatPr defaultColWidth="8.77734375" defaultRowHeight="14.4"/>
  <cols>
    <col min="1" max="1" width="8.77734375" style="10"/>
    <col min="2" max="2" width="11.77734375" style="10" bestFit="1" customWidth="1"/>
    <col min="3" max="42" width="8.77734375" style="10"/>
    <col min="43" max="43" width="11.77734375" style="10" bestFit="1" customWidth="1"/>
    <col min="44" max="44" width="8.77734375" style="10"/>
    <col min="45" max="45" width="9.77734375" style="10" bestFit="1" customWidth="1"/>
    <col min="46" max="46" width="11.77734375" style="10" bestFit="1" customWidth="1"/>
    <col min="47" max="47" width="8.77734375" style="10"/>
    <col min="48" max="49" width="10.33203125" style="10" bestFit="1" customWidth="1"/>
    <col min="50" max="50" width="8.77734375" style="10"/>
    <col min="51" max="51" width="10.33203125" style="10" bestFit="1" customWidth="1"/>
    <col min="52" max="52" width="11.77734375" style="10" bestFit="1" customWidth="1"/>
    <col min="53" max="16384" width="8.77734375" style="10"/>
  </cols>
  <sheetData>
    <row r="1" spans="1:54">
      <c r="A1" s="9" t="s">
        <v>44</v>
      </c>
      <c r="B1" s="9" t="s">
        <v>53</v>
      </c>
      <c r="C1" s="9" t="s">
        <v>50</v>
      </c>
      <c r="D1" s="9" t="s">
        <v>51</v>
      </c>
      <c r="E1" s="9" t="s">
        <v>59</v>
      </c>
      <c r="F1" s="9" t="s">
        <v>60</v>
      </c>
      <c r="G1" s="9" t="s">
        <v>61</v>
      </c>
      <c r="H1" s="9" t="s">
        <v>62</v>
      </c>
      <c r="I1" s="9" t="s">
        <v>63</v>
      </c>
      <c r="J1" s="9" t="s">
        <v>64</v>
      </c>
      <c r="K1" s="9" t="s">
        <v>65</v>
      </c>
      <c r="L1" s="9" t="s">
        <v>66</v>
      </c>
      <c r="M1" s="9" t="s">
        <v>67</v>
      </c>
      <c r="N1" s="9" t="s">
        <v>68</v>
      </c>
      <c r="O1" s="9" t="s">
        <v>69</v>
      </c>
      <c r="P1" s="9" t="s">
        <v>70</v>
      </c>
      <c r="Q1" s="9" t="s">
        <v>71</v>
      </c>
      <c r="R1" s="9" t="s">
        <v>72</v>
      </c>
      <c r="S1" s="9" t="s">
        <v>73</v>
      </c>
      <c r="T1" s="9" t="s">
        <v>74</v>
      </c>
      <c r="U1" s="9" t="s">
        <v>75</v>
      </c>
      <c r="V1" s="9" t="s">
        <v>76</v>
      </c>
      <c r="W1" s="9" t="s">
        <v>77</v>
      </c>
      <c r="X1" s="9" t="s">
        <v>78</v>
      </c>
      <c r="Y1" s="9" t="s">
        <v>79</v>
      </c>
      <c r="Z1" s="9" t="s">
        <v>80</v>
      </c>
      <c r="AA1" s="9" t="s">
        <v>81</v>
      </c>
      <c r="AB1" s="9" t="s">
        <v>82</v>
      </c>
      <c r="AC1" s="9" t="s">
        <v>83</v>
      </c>
      <c r="AD1" s="9" t="s">
        <v>84</v>
      </c>
      <c r="AE1" s="9" t="s">
        <v>85</v>
      </c>
      <c r="AF1" s="9" t="s">
        <v>86</v>
      </c>
      <c r="AG1" s="9" t="s">
        <v>87</v>
      </c>
      <c r="AH1" s="9" t="s">
        <v>88</v>
      </c>
      <c r="AI1" s="9" t="s">
        <v>89</v>
      </c>
      <c r="AJ1" s="9" t="s">
        <v>90</v>
      </c>
      <c r="AK1" s="9" t="s">
        <v>91</v>
      </c>
      <c r="AL1" s="9" t="s">
        <v>92</v>
      </c>
      <c r="AM1" s="9" t="s">
        <v>93</v>
      </c>
      <c r="AN1" s="9" t="s">
        <v>94</v>
      </c>
      <c r="AO1" s="9" t="s">
        <v>95</v>
      </c>
      <c r="AP1" s="9" t="s">
        <v>96</v>
      </c>
      <c r="AQ1" s="9" t="s">
        <v>54</v>
      </c>
      <c r="AR1" s="9" t="s">
        <v>8</v>
      </c>
      <c r="AS1" s="9" t="s">
        <v>9</v>
      </c>
      <c r="AT1" s="9" t="s">
        <v>55</v>
      </c>
      <c r="AU1" s="9" t="s">
        <v>18</v>
      </c>
      <c r="AV1" s="9" t="s">
        <v>19</v>
      </c>
      <c r="AW1" s="9" t="s">
        <v>56</v>
      </c>
      <c r="AX1" s="9" t="s">
        <v>13</v>
      </c>
      <c r="AY1" s="9" t="s">
        <v>14</v>
      </c>
      <c r="AZ1" s="9" t="s">
        <v>57</v>
      </c>
      <c r="BA1" s="9" t="s">
        <v>32</v>
      </c>
      <c r="BB1" s="9" t="s">
        <v>33</v>
      </c>
    </row>
    <row r="2" spans="1:54">
      <c r="A2" s="10" t="str">
        <f>Main_Input!A2</f>
        <v>F16</v>
      </c>
      <c r="B2" s="10" t="s">
        <v>181</v>
      </c>
      <c r="C2" s="10">
        <v>0.04</v>
      </c>
      <c r="D2" s="10">
        <v>0.3</v>
      </c>
      <c r="E2" s="29">
        <v>-0.54879999999999995</v>
      </c>
      <c r="F2" s="29">
        <v>-0.44479999999999997</v>
      </c>
      <c r="G2" s="29">
        <v>-0.34029999999999999</v>
      </c>
      <c r="H2" s="29">
        <v>-0.23960000000000001</v>
      </c>
      <c r="I2" s="29">
        <v>-0.12509999999999999</v>
      </c>
      <c r="J2" s="10">
        <v>0</v>
      </c>
      <c r="K2" s="29">
        <v>0.12509999999999999</v>
      </c>
      <c r="L2" s="29">
        <v>0.2394</v>
      </c>
      <c r="M2" s="29">
        <v>0.34010000000000001</v>
      </c>
      <c r="N2" s="29">
        <v>0.4446</v>
      </c>
      <c r="O2" s="29">
        <v>0.54869999999999997</v>
      </c>
      <c r="P2" s="29">
        <v>0.6462</v>
      </c>
      <c r="Q2" s="29">
        <v>0.73480000000000001</v>
      </c>
      <c r="R2" s="10">
        <v>0.8</v>
      </c>
      <c r="S2" s="10">
        <v>0.93</v>
      </c>
      <c r="T2" s="29">
        <v>0.71640000000000004</v>
      </c>
      <c r="U2" s="29">
        <v>0.71740000000000004</v>
      </c>
      <c r="V2" s="10">
        <v>0.7</v>
      </c>
      <c r="W2" s="10">
        <v>0.93</v>
      </c>
      <c r="X2" s="29">
        <v>9.9399999999999992E-3</v>
      </c>
      <c r="Y2" s="29">
        <v>8.1200000000000005E-3</v>
      </c>
      <c r="Z2" s="29">
        <v>7.3699999999999998E-3</v>
      </c>
      <c r="AA2" s="29">
        <v>5.7000000000000002E-3</v>
      </c>
      <c r="AB2" s="29">
        <v>4.2599999999999999E-3</v>
      </c>
      <c r="AC2" s="29">
        <v>3.3800000000000002E-3</v>
      </c>
      <c r="AD2" s="29">
        <v>4.2599999999999999E-3</v>
      </c>
      <c r="AE2" s="29">
        <v>5.7000000000000002E-3</v>
      </c>
      <c r="AF2" s="29">
        <v>7.3699999999999998E-3</v>
      </c>
      <c r="AG2" s="29">
        <v>8.1200000000000005E-3</v>
      </c>
      <c r="AH2" s="29">
        <v>9.9600000000000001E-3</v>
      </c>
      <c r="AI2" s="29">
        <v>0.01</v>
      </c>
      <c r="AJ2" s="29">
        <v>2.034E-2</v>
      </c>
      <c r="AK2" s="11">
        <v>0.03</v>
      </c>
      <c r="AL2" s="11">
        <v>0.05</v>
      </c>
      <c r="AM2" s="29">
        <v>0.1191</v>
      </c>
      <c r="AN2" s="29">
        <v>0.12388</v>
      </c>
      <c r="AO2" s="11">
        <v>0.15</v>
      </c>
      <c r="AP2" s="29">
        <v>3.3800000000000002E-3</v>
      </c>
      <c r="AQ2" s="10" t="s">
        <v>181</v>
      </c>
      <c r="AR2" s="10">
        <v>0.04</v>
      </c>
      <c r="AS2" s="10">
        <v>0.3</v>
      </c>
      <c r="AT2" s="10">
        <v>0</v>
      </c>
      <c r="AU2" s="10">
        <v>0</v>
      </c>
      <c r="AV2" s="10">
        <v>0</v>
      </c>
      <c r="AW2" s="10" t="s">
        <v>181</v>
      </c>
      <c r="AX2" s="10">
        <v>0.04</v>
      </c>
      <c r="AY2" s="10">
        <v>0.3</v>
      </c>
      <c r="AZ2" s="10">
        <v>0</v>
      </c>
      <c r="BA2" s="10">
        <v>0</v>
      </c>
      <c r="BB2" s="10">
        <v>0</v>
      </c>
    </row>
    <row r="3" spans="1:54">
      <c r="A3" s="10" t="str">
        <f>Main_Input!A3</f>
        <v>C172</v>
      </c>
      <c r="B3" s="10" t="s">
        <v>214</v>
      </c>
      <c r="C3" s="10">
        <v>0.12</v>
      </c>
      <c r="D3" s="10">
        <v>0.3</v>
      </c>
      <c r="E3" s="3">
        <f>-0.483</f>
        <v>-0.48299999999999998</v>
      </c>
      <c r="F3" s="29">
        <f>-0.3983</f>
        <v>-0.39829999999999999</v>
      </c>
      <c r="G3" s="29">
        <f>-0.3108</f>
        <v>-0.31080000000000002</v>
      </c>
      <c r="H3" s="29">
        <v>-0.2485</v>
      </c>
      <c r="I3" s="29">
        <v>-0.1244</v>
      </c>
      <c r="J3" s="10">
        <v>-5.8900000000000001E-2</v>
      </c>
      <c r="K3" s="29">
        <v>0.13750000000000001</v>
      </c>
      <c r="L3" s="29">
        <v>0.30249999999999999</v>
      </c>
      <c r="M3" s="29">
        <v>0.45279999999999998</v>
      </c>
      <c r="N3" s="29">
        <v>0.59899999999999998</v>
      </c>
      <c r="O3" s="29">
        <v>0.7429</v>
      </c>
      <c r="P3" s="29">
        <v>0.85670000000000002</v>
      </c>
      <c r="Q3" s="29">
        <v>0.95979999999999999</v>
      </c>
      <c r="R3" s="10">
        <v>1.0251999999999999</v>
      </c>
      <c r="S3" s="10">
        <v>1.0969</v>
      </c>
      <c r="T3" s="29">
        <v>1.1591</v>
      </c>
      <c r="U3" s="29">
        <v>1.1391</v>
      </c>
      <c r="V3" s="10">
        <v>1.0009999999999999</v>
      </c>
      <c r="W3" s="10">
        <f>1.1591</f>
        <v>1.1591</v>
      </c>
      <c r="X3" s="29">
        <v>3.1399999999999997E-2</v>
      </c>
      <c r="Y3" s="29">
        <v>2.6689999999999998E-2</v>
      </c>
      <c r="Z3" s="29">
        <v>2.6689999999999998E-2</v>
      </c>
      <c r="AA3" s="29">
        <v>2.1329999999999998E-2</v>
      </c>
      <c r="AB3" s="29">
        <v>2.1909999999999999E-2</v>
      </c>
      <c r="AC3" s="29">
        <v>2.4060000000000002E-2</v>
      </c>
      <c r="AD3" s="29">
        <v>2.81E-2</v>
      </c>
      <c r="AE3" s="29">
        <v>3.099E-2</v>
      </c>
      <c r="AF3" s="29">
        <v>3.304E-2</v>
      </c>
      <c r="AG3" s="29">
        <v>3.3750000000000002E-2</v>
      </c>
      <c r="AH3" s="29">
        <v>3.2559999999999999E-2</v>
      </c>
      <c r="AI3" s="29">
        <v>3.159E-2</v>
      </c>
      <c r="AJ3" s="29">
        <v>3.0269999999999998E-2</v>
      </c>
      <c r="AK3" s="11">
        <v>3.245E-2</v>
      </c>
      <c r="AL3" s="11">
        <v>3.9794999999999997E-2</v>
      </c>
      <c r="AM3" s="29">
        <v>4.9970000000000001E-2</v>
      </c>
      <c r="AN3" s="29">
        <v>6.5100000000000005E-2</v>
      </c>
      <c r="AO3" s="11">
        <v>9.2009999999999995E-2</v>
      </c>
      <c r="AP3" s="29">
        <v>2.1329999999999998E-2</v>
      </c>
      <c r="AQ3" s="10" t="s">
        <v>181</v>
      </c>
      <c r="AR3" s="10">
        <v>0.04</v>
      </c>
      <c r="AS3" s="10">
        <v>0.3</v>
      </c>
      <c r="AT3" s="10">
        <v>0</v>
      </c>
      <c r="AU3" s="10">
        <v>0</v>
      </c>
      <c r="AV3" s="10">
        <v>0</v>
      </c>
      <c r="AW3" s="10" t="s">
        <v>181</v>
      </c>
      <c r="AX3" s="10">
        <v>0.04</v>
      </c>
      <c r="AY3" s="10">
        <v>0.3</v>
      </c>
      <c r="AZ3" s="10">
        <v>0</v>
      </c>
      <c r="BA3" s="10">
        <v>0</v>
      </c>
      <c r="BB3" s="10">
        <v>0</v>
      </c>
    </row>
    <row r="4" spans="1:54">
      <c r="A4" s="10" t="str">
        <f>Main_Input!A4</f>
        <v>B747</v>
      </c>
      <c r="B4" s="10" t="s">
        <v>217</v>
      </c>
      <c r="C4" s="10">
        <v>0.10100000000000001</v>
      </c>
      <c r="D4" s="10">
        <v>0.4</v>
      </c>
      <c r="E4" s="10">
        <v>-0.35049999999999998</v>
      </c>
      <c r="F4" s="10">
        <v>-0.25140000000000001</v>
      </c>
      <c r="G4" s="10">
        <v>-0.14929999999999999</v>
      </c>
      <c r="H4" s="10">
        <v>-3.1800000000000002E-2</v>
      </c>
      <c r="I4" s="10">
        <v>9.1200000000000003E-2</v>
      </c>
      <c r="J4" s="10">
        <v>0.21329999999999999</v>
      </c>
      <c r="K4" s="10">
        <v>0.30480000000000002</v>
      </c>
      <c r="L4" s="10">
        <v>0.318</v>
      </c>
      <c r="M4" s="10">
        <v>0.39250000000000002</v>
      </c>
      <c r="N4" s="10">
        <v>0.4889</v>
      </c>
      <c r="O4" s="10">
        <v>0.58550000000000002</v>
      </c>
      <c r="P4" s="10">
        <v>0.68079999999999996</v>
      </c>
      <c r="Q4" s="10">
        <v>0.77439999999999998</v>
      </c>
      <c r="R4" s="10">
        <v>0.87209999999999999</v>
      </c>
      <c r="S4" s="10">
        <v>0.97289999999999999</v>
      </c>
      <c r="T4" s="10">
        <v>1.0609999999999999</v>
      </c>
      <c r="U4" s="10">
        <v>1.1263000000000001</v>
      </c>
      <c r="V4" s="10">
        <v>0.91649999999999998</v>
      </c>
      <c r="W4" s="10">
        <v>1.1200000000000001</v>
      </c>
      <c r="X4">
        <v>9.5300000000000003E-3</v>
      </c>
      <c r="Y4">
        <v>8.5199999999999998E-3</v>
      </c>
      <c r="Z4">
        <v>7.4099999999999999E-3</v>
      </c>
      <c r="AA4">
        <v>5.8399999999999997E-3</v>
      </c>
      <c r="AB4">
        <v>5.4999999999999997E-3</v>
      </c>
      <c r="AC4">
        <v>5.0899999999999999E-3</v>
      </c>
      <c r="AD4">
        <v>5.0600000000000003E-3</v>
      </c>
      <c r="AE4">
        <v>7.43E-3</v>
      </c>
      <c r="AF4">
        <v>9.4800000000000006E-3</v>
      </c>
      <c r="AG4">
        <v>1.0330000000000001E-2</v>
      </c>
      <c r="AH4">
        <v>1.132E-2</v>
      </c>
      <c r="AI4">
        <v>1.256E-2</v>
      </c>
      <c r="AJ4">
        <v>1.4409999999999999E-2</v>
      </c>
      <c r="AK4">
        <v>1.634E-2</v>
      </c>
      <c r="AL4">
        <v>2.052E-2</v>
      </c>
      <c r="AM4">
        <v>2.4979999999999999E-2</v>
      </c>
      <c r="AN4">
        <v>3.1119999999999998E-2</v>
      </c>
      <c r="AO4">
        <v>7.1559999999999999E-2</v>
      </c>
      <c r="AP4" s="10">
        <v>5.0600000000000003E-3</v>
      </c>
      <c r="AQ4" s="10" t="s">
        <v>218</v>
      </c>
      <c r="AR4" s="10">
        <v>0.1</v>
      </c>
      <c r="AS4" s="10">
        <v>0.3</v>
      </c>
      <c r="AT4" s="10">
        <v>0</v>
      </c>
      <c r="AU4" s="10">
        <v>0</v>
      </c>
      <c r="AV4" s="10">
        <v>0</v>
      </c>
      <c r="AW4" s="10" t="s">
        <v>218</v>
      </c>
      <c r="AX4" s="10">
        <v>0.1</v>
      </c>
      <c r="AY4" s="10">
        <v>0.3</v>
      </c>
      <c r="AZ4" s="10">
        <v>0</v>
      </c>
      <c r="BA4" s="10">
        <v>0</v>
      </c>
      <c r="BB4" s="10">
        <v>0</v>
      </c>
    </row>
    <row r="5" spans="1:54">
      <c r="A5" s="10" t="str">
        <f>Main_Input!A5</f>
        <v>T38</v>
      </c>
      <c r="B5" s="10" t="s">
        <v>181</v>
      </c>
      <c r="C5" s="10">
        <v>0.04</v>
      </c>
      <c r="D5" s="10">
        <v>0.3</v>
      </c>
      <c r="E5" s="29">
        <v>-0.54879999999999995</v>
      </c>
      <c r="F5" s="29">
        <v>-0.44479999999999997</v>
      </c>
      <c r="G5" s="29">
        <v>-0.34029999999999999</v>
      </c>
      <c r="H5" s="29">
        <v>-0.23960000000000001</v>
      </c>
      <c r="I5" s="29">
        <v>-0.12509999999999999</v>
      </c>
      <c r="J5" s="10">
        <v>0</v>
      </c>
      <c r="K5" s="29">
        <v>0.12509999999999999</v>
      </c>
      <c r="L5" s="29">
        <v>0.2394</v>
      </c>
      <c r="M5" s="29">
        <v>0.34010000000000001</v>
      </c>
      <c r="N5" s="29">
        <v>0.4446</v>
      </c>
      <c r="O5" s="29">
        <v>0.54869999999999997</v>
      </c>
      <c r="P5" s="29">
        <v>0.6462</v>
      </c>
      <c r="Q5" s="29">
        <v>0.73480000000000001</v>
      </c>
      <c r="R5" s="10">
        <v>0.8</v>
      </c>
      <c r="S5" s="10">
        <v>0.93</v>
      </c>
      <c r="T5" s="29">
        <v>0.71640000000000004</v>
      </c>
      <c r="U5" s="29">
        <v>0.71740000000000004</v>
      </c>
      <c r="V5" s="10">
        <v>0.7</v>
      </c>
      <c r="W5" s="10">
        <v>0.93</v>
      </c>
      <c r="X5" s="29">
        <v>9.9399999999999992E-3</v>
      </c>
      <c r="Y5" s="29">
        <v>8.1200000000000005E-3</v>
      </c>
      <c r="Z5" s="29">
        <v>7.3699999999999998E-3</v>
      </c>
      <c r="AA5" s="29">
        <v>5.7000000000000002E-3</v>
      </c>
      <c r="AB5" s="29">
        <v>4.2599999999999999E-3</v>
      </c>
      <c r="AC5" s="29">
        <v>3.3800000000000002E-3</v>
      </c>
      <c r="AD5" s="29">
        <v>4.2599999999999999E-3</v>
      </c>
      <c r="AE5" s="29">
        <v>5.7000000000000002E-3</v>
      </c>
      <c r="AF5" s="29">
        <v>7.3699999999999998E-3</v>
      </c>
      <c r="AG5" s="29">
        <v>8.1200000000000005E-3</v>
      </c>
      <c r="AH5" s="29">
        <v>9.9600000000000001E-3</v>
      </c>
      <c r="AI5" s="29">
        <v>0.01</v>
      </c>
      <c r="AJ5" s="29">
        <v>2.034E-2</v>
      </c>
      <c r="AK5" s="11">
        <v>0.03</v>
      </c>
      <c r="AL5" s="11">
        <v>0.05</v>
      </c>
      <c r="AM5" s="29">
        <v>0.1191</v>
      </c>
      <c r="AN5" s="29">
        <v>0.12388</v>
      </c>
      <c r="AO5" s="11">
        <v>0.15</v>
      </c>
      <c r="AP5" s="29">
        <v>3.3800000000000002E-3</v>
      </c>
      <c r="AQ5" s="10" t="s">
        <v>181</v>
      </c>
      <c r="AR5" s="10">
        <v>0.04</v>
      </c>
      <c r="AS5" s="10">
        <v>0.3</v>
      </c>
      <c r="AT5" s="10">
        <v>0</v>
      </c>
      <c r="AU5" s="10">
        <v>0</v>
      </c>
      <c r="AV5" s="10">
        <v>0</v>
      </c>
      <c r="AW5" s="10" t="s">
        <v>181</v>
      </c>
      <c r="AX5" s="10">
        <v>0.04</v>
      </c>
      <c r="AY5" s="10">
        <v>0.3</v>
      </c>
      <c r="AZ5" s="10">
        <v>0</v>
      </c>
      <c r="BA5" s="10">
        <v>0</v>
      </c>
      <c r="BB5" s="10">
        <v>0</v>
      </c>
    </row>
    <row r="6" spans="1:54">
      <c r="A6" s="10" t="str">
        <f>Main_Input!A6</f>
        <v>Electric</v>
      </c>
      <c r="B6" s="10" t="s">
        <v>214</v>
      </c>
      <c r="C6" s="10">
        <v>0.12</v>
      </c>
      <c r="D6" s="10">
        <v>0.3</v>
      </c>
      <c r="E6" s="3">
        <f>-0.483</f>
        <v>-0.48299999999999998</v>
      </c>
      <c r="F6" s="29">
        <f>-0.3983</f>
        <v>-0.39829999999999999</v>
      </c>
      <c r="G6" s="29">
        <f>-0.3108</f>
        <v>-0.31080000000000002</v>
      </c>
      <c r="H6" s="29">
        <v>-0.2485</v>
      </c>
      <c r="I6" s="29">
        <v>-0.1244</v>
      </c>
      <c r="J6" s="10">
        <v>-5.8900000000000001E-2</v>
      </c>
      <c r="K6" s="29">
        <v>0.13750000000000001</v>
      </c>
      <c r="L6" s="29">
        <v>0.30249999999999999</v>
      </c>
      <c r="M6" s="29">
        <v>0.45279999999999998</v>
      </c>
      <c r="N6" s="29">
        <v>0.59899999999999998</v>
      </c>
      <c r="O6" s="29">
        <v>0.7429</v>
      </c>
      <c r="P6" s="29">
        <v>0.85670000000000002</v>
      </c>
      <c r="Q6" s="29">
        <v>0.95979999999999999</v>
      </c>
      <c r="R6" s="10">
        <v>1.0251999999999999</v>
      </c>
      <c r="S6" s="10">
        <v>1.0969</v>
      </c>
      <c r="T6" s="29">
        <v>1.1591</v>
      </c>
      <c r="U6" s="29">
        <v>1.1391</v>
      </c>
      <c r="V6" s="10">
        <v>1.0009999999999999</v>
      </c>
      <c r="W6" s="10">
        <f>1.1591</f>
        <v>1.1591</v>
      </c>
      <c r="X6" s="29">
        <v>3.1399999999999997E-2</v>
      </c>
      <c r="Y6" s="29">
        <v>2.6689999999999998E-2</v>
      </c>
      <c r="Z6" s="29">
        <v>2.6689999999999998E-2</v>
      </c>
      <c r="AA6" s="29">
        <v>2.1329999999999998E-2</v>
      </c>
      <c r="AB6" s="29">
        <v>2.1909999999999999E-2</v>
      </c>
      <c r="AC6" s="29">
        <v>2.4060000000000002E-2</v>
      </c>
      <c r="AD6" s="29">
        <v>2.81E-2</v>
      </c>
      <c r="AE6" s="29">
        <v>3.099E-2</v>
      </c>
      <c r="AF6" s="29">
        <v>3.304E-2</v>
      </c>
      <c r="AG6" s="29">
        <v>3.3750000000000002E-2</v>
      </c>
      <c r="AH6" s="29">
        <v>3.2559999999999999E-2</v>
      </c>
      <c r="AI6" s="29">
        <v>3.159E-2</v>
      </c>
      <c r="AJ6" s="29">
        <v>3.0269999999999998E-2</v>
      </c>
      <c r="AK6" s="11">
        <v>3.245E-2</v>
      </c>
      <c r="AL6" s="11">
        <v>3.9794999999999997E-2</v>
      </c>
      <c r="AM6" s="29">
        <v>4.9970000000000001E-2</v>
      </c>
      <c r="AN6" s="29">
        <v>6.5100000000000005E-2</v>
      </c>
      <c r="AO6" s="11">
        <v>9.2009999999999995E-2</v>
      </c>
      <c r="AP6" s="29">
        <v>2.1329999999999998E-2</v>
      </c>
      <c r="AQ6" s="10" t="s">
        <v>181</v>
      </c>
      <c r="AR6" s="10">
        <v>0.04</v>
      </c>
      <c r="AS6" s="10">
        <v>0.3</v>
      </c>
      <c r="AT6" s="10">
        <v>0</v>
      </c>
      <c r="AU6" s="10">
        <v>0</v>
      </c>
      <c r="AV6" s="10">
        <v>0</v>
      </c>
      <c r="AW6" s="10" t="s">
        <v>181</v>
      </c>
      <c r="AX6" s="10">
        <v>0.04</v>
      </c>
      <c r="AY6" s="10">
        <v>0.3</v>
      </c>
      <c r="AZ6" s="10">
        <v>0</v>
      </c>
      <c r="BA6" s="10">
        <v>0</v>
      </c>
      <c r="BB6" s="10">
        <v>0</v>
      </c>
    </row>
    <row r="7" spans="1:54">
      <c r="A7" s="10" t="str">
        <f>Main_Input!A7</f>
        <v>Tiltrotor Turboprop</v>
      </c>
      <c r="B7" s="10" t="s">
        <v>214</v>
      </c>
      <c r="C7" s="10">
        <v>0.12</v>
      </c>
      <c r="D7" s="10">
        <v>0.3</v>
      </c>
      <c r="E7" s="3">
        <f>-0.483</f>
        <v>-0.48299999999999998</v>
      </c>
      <c r="F7" s="29">
        <f>-0.3983</f>
        <v>-0.39829999999999999</v>
      </c>
      <c r="G7" s="29">
        <f>-0.3108</f>
        <v>-0.31080000000000002</v>
      </c>
      <c r="H7" s="29">
        <v>-0.2485</v>
      </c>
      <c r="I7" s="29">
        <v>-0.1244</v>
      </c>
      <c r="J7" s="10">
        <v>-5.8900000000000001E-2</v>
      </c>
      <c r="K7" s="29">
        <v>0.13750000000000001</v>
      </c>
      <c r="L7" s="29">
        <v>0.30249999999999999</v>
      </c>
      <c r="M7" s="29">
        <v>0.45279999999999998</v>
      </c>
      <c r="N7" s="29">
        <v>0.59899999999999998</v>
      </c>
      <c r="O7" s="29">
        <v>0.7429</v>
      </c>
      <c r="P7" s="29">
        <v>0.85670000000000002</v>
      </c>
      <c r="Q7" s="29">
        <v>0.95979999999999999</v>
      </c>
      <c r="R7" s="10">
        <v>1.0251999999999999</v>
      </c>
      <c r="S7" s="10">
        <v>1.0969</v>
      </c>
      <c r="T7" s="29">
        <v>1.1591</v>
      </c>
      <c r="U7" s="29">
        <v>1.1391</v>
      </c>
      <c r="V7" s="10">
        <v>1.0009999999999999</v>
      </c>
      <c r="W7" s="10">
        <f>1.1591</f>
        <v>1.1591</v>
      </c>
      <c r="X7" s="29">
        <v>3.1399999999999997E-2</v>
      </c>
      <c r="Y7" s="29">
        <v>2.6689999999999998E-2</v>
      </c>
      <c r="Z7" s="29">
        <v>2.6689999999999998E-2</v>
      </c>
      <c r="AA7" s="29">
        <v>2.1329999999999998E-2</v>
      </c>
      <c r="AB7" s="29">
        <v>2.1909999999999999E-2</v>
      </c>
      <c r="AC7" s="29">
        <v>2.4060000000000002E-2</v>
      </c>
      <c r="AD7" s="29">
        <v>2.81E-2</v>
      </c>
      <c r="AE7" s="29">
        <v>3.099E-2</v>
      </c>
      <c r="AF7" s="29">
        <v>3.304E-2</v>
      </c>
      <c r="AG7" s="29">
        <v>3.3750000000000002E-2</v>
      </c>
      <c r="AH7" s="29">
        <v>3.2559999999999999E-2</v>
      </c>
      <c r="AI7" s="29">
        <v>3.159E-2</v>
      </c>
      <c r="AJ7" s="29">
        <v>3.0269999999999998E-2</v>
      </c>
      <c r="AK7" s="11">
        <v>3.245E-2</v>
      </c>
      <c r="AL7" s="11">
        <v>3.9794999999999997E-2</v>
      </c>
      <c r="AM7" s="29">
        <v>4.9970000000000001E-2</v>
      </c>
      <c r="AN7" s="29">
        <v>6.5100000000000005E-2</v>
      </c>
      <c r="AO7" s="11">
        <v>9.2009999999999995E-2</v>
      </c>
      <c r="AP7" s="29">
        <v>2.1329999999999998E-2</v>
      </c>
      <c r="AQ7" s="10" t="s">
        <v>181</v>
      </c>
      <c r="AR7" s="10">
        <v>0.04</v>
      </c>
      <c r="AS7" s="10">
        <v>0.3</v>
      </c>
      <c r="AT7" s="10">
        <v>0</v>
      </c>
      <c r="AU7" s="10">
        <v>0</v>
      </c>
      <c r="AV7" s="10">
        <v>0</v>
      </c>
      <c r="AW7" s="10" t="s">
        <v>181</v>
      </c>
      <c r="AX7" s="10">
        <v>0.04</v>
      </c>
      <c r="AY7" s="10">
        <v>0.3</v>
      </c>
      <c r="AZ7" s="10">
        <v>0</v>
      </c>
      <c r="BA7" s="10">
        <v>0</v>
      </c>
      <c r="BB7" s="10">
        <v>0</v>
      </c>
    </row>
    <row r="21" s="23" customFormat="1"/>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7D4EB-A9CB-4E6A-B1A1-7AF90F186000}">
  <dimension ref="A1:R21"/>
  <sheetViews>
    <sheetView tabSelected="1" topLeftCell="L1" zoomScale="164" workbookViewId="0">
      <selection activeCell="M8" sqref="M8"/>
    </sheetView>
  </sheetViews>
  <sheetFormatPr defaultColWidth="8.77734375" defaultRowHeight="14.4"/>
  <cols>
    <col min="2" max="2" width="21.44140625" customWidth="1"/>
    <col min="4" max="4" width="10" customWidth="1"/>
    <col min="5" max="5" width="11.44140625" bestFit="1" customWidth="1"/>
    <col min="7" max="7" width="11.44140625" bestFit="1" customWidth="1"/>
    <col min="8" max="8" width="10.77734375" bestFit="1" customWidth="1"/>
    <col min="9" max="9" width="10" bestFit="1" customWidth="1"/>
    <col min="13" max="13" width="8.88671875" bestFit="1" customWidth="1"/>
    <col min="14" max="14" width="10.21875" bestFit="1" customWidth="1"/>
    <col min="15" max="15" width="12.109375" bestFit="1" customWidth="1"/>
    <col min="16" max="16" width="11.77734375" bestFit="1" customWidth="1"/>
    <col min="17" max="17" width="8.44140625" bestFit="1" customWidth="1"/>
    <col min="18" max="18" width="7.5546875" bestFit="1" customWidth="1"/>
  </cols>
  <sheetData>
    <row r="1" spans="1:18">
      <c r="A1" s="20" t="s">
        <v>44</v>
      </c>
      <c r="B1" s="20" t="s">
        <v>182</v>
      </c>
      <c r="C1" s="20" t="s">
        <v>164</v>
      </c>
      <c r="D1" s="18" t="s">
        <v>189</v>
      </c>
      <c r="E1" s="18" t="s">
        <v>190</v>
      </c>
      <c r="F1" s="18" t="s">
        <v>183</v>
      </c>
      <c r="G1" s="18" t="s">
        <v>184</v>
      </c>
      <c r="H1" s="18" t="s">
        <v>168</v>
      </c>
      <c r="I1" s="19" t="s">
        <v>165</v>
      </c>
      <c r="J1" s="19" t="s">
        <v>166</v>
      </c>
      <c r="K1" s="19" t="s">
        <v>167</v>
      </c>
      <c r="L1" s="19" t="s">
        <v>244</v>
      </c>
      <c r="M1" s="30" t="s">
        <v>221</v>
      </c>
      <c r="N1" s="30" t="s">
        <v>222</v>
      </c>
      <c r="O1" s="30" t="s">
        <v>223</v>
      </c>
      <c r="P1" s="30" t="s">
        <v>224</v>
      </c>
      <c r="Q1" s="30" t="s">
        <v>225</v>
      </c>
      <c r="R1" s="30" t="s">
        <v>226</v>
      </c>
    </row>
    <row r="2" spans="1:18">
      <c r="A2" t="str">
        <f>Main_Input!A2</f>
        <v>F16</v>
      </c>
      <c r="B2" t="s">
        <v>186</v>
      </c>
      <c r="C2">
        <v>1</v>
      </c>
      <c r="D2">
        <v>17800</v>
      </c>
      <c r="E2">
        <v>0.74</v>
      </c>
      <c r="F2">
        <v>29000</v>
      </c>
      <c r="G2">
        <v>2.0499999999999998</v>
      </c>
      <c r="H2">
        <v>0.2</v>
      </c>
      <c r="I2">
        <v>0</v>
      </c>
      <c r="J2">
        <v>0</v>
      </c>
      <c r="K2">
        <v>0</v>
      </c>
      <c r="L2">
        <v>0</v>
      </c>
      <c r="M2">
        <v>0</v>
      </c>
      <c r="N2">
        <v>0</v>
      </c>
      <c r="O2">
        <v>0</v>
      </c>
      <c r="P2">
        <v>0</v>
      </c>
      <c r="Q2">
        <v>0</v>
      </c>
      <c r="R2">
        <v>0</v>
      </c>
    </row>
    <row r="3" spans="1:18">
      <c r="A3" t="str">
        <f>Main_Input!A3</f>
        <v>C172</v>
      </c>
      <c r="B3" t="s">
        <v>227</v>
      </c>
      <c r="C3">
        <v>1</v>
      </c>
      <c r="D3">
        <v>0</v>
      </c>
      <c r="E3">
        <v>0</v>
      </c>
      <c r="F3">
        <v>0</v>
      </c>
      <c r="G3">
        <v>0</v>
      </c>
      <c r="H3">
        <v>0</v>
      </c>
      <c r="I3">
        <v>160</v>
      </c>
      <c r="J3">
        <v>0.39</v>
      </c>
      <c r="K3">
        <v>0.8</v>
      </c>
      <c r="L3">
        <v>0</v>
      </c>
      <c r="M3">
        <v>0</v>
      </c>
      <c r="N3">
        <v>0</v>
      </c>
      <c r="O3">
        <v>0</v>
      </c>
      <c r="P3">
        <v>0</v>
      </c>
      <c r="Q3">
        <v>0</v>
      </c>
      <c r="R3">
        <v>0</v>
      </c>
    </row>
    <row r="4" spans="1:18">
      <c r="A4" t="str">
        <f>Main_Input!A4</f>
        <v>B747</v>
      </c>
      <c r="B4" t="s">
        <v>185</v>
      </c>
      <c r="C4">
        <v>4</v>
      </c>
      <c r="D4">
        <v>57000</v>
      </c>
      <c r="E4">
        <v>0.36799999999999999</v>
      </c>
      <c r="F4">
        <v>0</v>
      </c>
      <c r="G4">
        <v>0</v>
      </c>
      <c r="H4">
        <v>0</v>
      </c>
      <c r="I4">
        <v>0</v>
      </c>
      <c r="J4">
        <v>0</v>
      </c>
      <c r="K4">
        <v>0</v>
      </c>
      <c r="L4">
        <v>0</v>
      </c>
      <c r="M4">
        <v>0</v>
      </c>
      <c r="N4">
        <v>0</v>
      </c>
      <c r="O4">
        <v>0</v>
      </c>
      <c r="P4">
        <v>0</v>
      </c>
      <c r="Q4">
        <v>0</v>
      </c>
      <c r="R4">
        <v>0</v>
      </c>
    </row>
    <row r="5" spans="1:18">
      <c r="A5" t="str">
        <f>Main_Input!A5</f>
        <v>T38</v>
      </c>
      <c r="B5" t="s">
        <v>186</v>
      </c>
      <c r="C5">
        <v>2</v>
      </c>
      <c r="D5">
        <v>2455</v>
      </c>
      <c r="E5">
        <v>1.1399999999999999</v>
      </c>
      <c r="F5">
        <v>3660</v>
      </c>
      <c r="G5">
        <v>2.64</v>
      </c>
      <c r="H5">
        <v>0.2</v>
      </c>
      <c r="I5">
        <v>0</v>
      </c>
      <c r="J5">
        <v>0</v>
      </c>
      <c r="K5">
        <v>0</v>
      </c>
      <c r="L5">
        <v>0</v>
      </c>
      <c r="M5">
        <v>0</v>
      </c>
      <c r="N5">
        <v>0</v>
      </c>
      <c r="O5">
        <v>0</v>
      </c>
      <c r="P5">
        <v>0</v>
      </c>
      <c r="Q5">
        <v>0</v>
      </c>
      <c r="R5">
        <v>0</v>
      </c>
    </row>
    <row r="6" spans="1:18">
      <c r="A6" t="s">
        <v>220</v>
      </c>
      <c r="B6" t="s">
        <v>188</v>
      </c>
      <c r="C6">
        <v>1</v>
      </c>
      <c r="D6">
        <v>0</v>
      </c>
      <c r="E6">
        <v>0</v>
      </c>
      <c r="F6">
        <v>0</v>
      </c>
      <c r="G6">
        <v>0</v>
      </c>
      <c r="H6">
        <v>0</v>
      </c>
      <c r="I6">
        <v>160</v>
      </c>
      <c r="J6">
        <v>0.39</v>
      </c>
      <c r="K6">
        <v>0.8</v>
      </c>
      <c r="L6">
        <v>0</v>
      </c>
      <c r="M6">
        <v>275</v>
      </c>
      <c r="N6">
        <v>0.9</v>
      </c>
      <c r="O6">
        <v>0.9</v>
      </c>
      <c r="P6">
        <v>0.9</v>
      </c>
      <c r="Q6">
        <v>200.47499999999999</v>
      </c>
      <c r="R6">
        <v>0.93</v>
      </c>
    </row>
    <row r="7" spans="1:18">
      <c r="A7" t="s">
        <v>243</v>
      </c>
      <c r="B7" t="s">
        <v>242</v>
      </c>
      <c r="C7">
        <v>2</v>
      </c>
      <c r="D7">
        <v>0</v>
      </c>
      <c r="E7">
        <v>0</v>
      </c>
      <c r="F7">
        <v>0</v>
      </c>
      <c r="G7">
        <v>0</v>
      </c>
      <c r="H7">
        <v>0</v>
      </c>
      <c r="I7">
        <v>6150</v>
      </c>
      <c r="J7">
        <v>0.42599999999999999</v>
      </c>
      <c r="K7">
        <v>0.7</v>
      </c>
      <c r="L7">
        <v>38</v>
      </c>
      <c r="M7">
        <v>0</v>
      </c>
      <c r="N7">
        <v>0</v>
      </c>
      <c r="O7">
        <v>0</v>
      </c>
      <c r="P7">
        <v>0</v>
      </c>
      <c r="Q7">
        <v>0</v>
      </c>
      <c r="R7">
        <v>0</v>
      </c>
    </row>
    <row r="21" s="21" customFormat="1"/>
  </sheetData>
  <pageMargins left="0.7" right="0.7" top="0.75" bottom="0.75" header="0.3" footer="0.3"/>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146FD322-F56C-4AD2-8F7E-F7F75CA9EE21}">
          <x14:formula1>
            <xm:f>Lists!$A$2:$A$7</xm:f>
          </x14:formula1>
          <xm:sqref>B2:B20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DADA5-6988-44B9-AE9F-DADE8E93F984}">
  <dimension ref="A1:B19"/>
  <sheetViews>
    <sheetView zoomScale="169" workbookViewId="0">
      <selection activeCell="A14" sqref="A14"/>
    </sheetView>
  </sheetViews>
  <sheetFormatPr defaultColWidth="8.77734375" defaultRowHeight="14.4"/>
  <cols>
    <col min="1" max="1" width="19.33203125" customWidth="1"/>
    <col min="2" max="2" width="26.109375" bestFit="1" customWidth="1"/>
    <col min="3" max="3" width="18.109375" customWidth="1"/>
  </cols>
  <sheetData>
    <row r="1" spans="1:2">
      <c r="A1" t="s">
        <v>182</v>
      </c>
      <c r="B1" t="s">
        <v>208</v>
      </c>
    </row>
    <row r="2" spans="1:2">
      <c r="A2" t="s">
        <v>187</v>
      </c>
      <c r="B2" t="s">
        <v>209</v>
      </c>
    </row>
    <row r="3" spans="1:2">
      <c r="A3" t="s">
        <v>188</v>
      </c>
      <c r="B3" t="s">
        <v>210</v>
      </c>
    </row>
    <row r="4" spans="1:2">
      <c r="A4" t="s">
        <v>185</v>
      </c>
      <c r="B4" t="s">
        <v>211</v>
      </c>
    </row>
    <row r="5" spans="1:2">
      <c r="A5" t="s">
        <v>186</v>
      </c>
      <c r="B5" t="s">
        <v>212</v>
      </c>
    </row>
    <row r="6" spans="1:2">
      <c r="A6" t="s">
        <v>242</v>
      </c>
      <c r="B6" t="s">
        <v>228</v>
      </c>
    </row>
    <row r="7" spans="1:2">
      <c r="A7" t="s">
        <v>227</v>
      </c>
      <c r="B7" t="s">
        <v>229</v>
      </c>
    </row>
    <row r="8" spans="1:2">
      <c r="B8" s="28" t="s">
        <v>230</v>
      </c>
    </row>
    <row r="9" spans="1:2">
      <c r="B9" t="s">
        <v>231</v>
      </c>
    </row>
    <row r="10" spans="1:2">
      <c r="B10" s="28" t="s">
        <v>232</v>
      </c>
    </row>
    <row r="11" spans="1:2">
      <c r="B11" t="s">
        <v>241</v>
      </c>
    </row>
    <row r="12" spans="1:2">
      <c r="B12" s="28" t="s">
        <v>240</v>
      </c>
    </row>
    <row r="13" spans="1:2">
      <c r="B13" t="s">
        <v>233</v>
      </c>
    </row>
    <row r="14" spans="1:2">
      <c r="B14" t="s">
        <v>234</v>
      </c>
    </row>
    <row r="15" spans="1:2">
      <c r="B15" t="s">
        <v>235</v>
      </c>
    </row>
    <row r="16" spans="1:2">
      <c r="B16" t="s">
        <v>239</v>
      </c>
    </row>
    <row r="17" spans="2:2">
      <c r="B17" t="s">
        <v>236</v>
      </c>
    </row>
    <row r="18" spans="2:2">
      <c r="B18" t="s">
        <v>238</v>
      </c>
    </row>
    <row r="19" spans="2:2">
      <c r="B19" t="s">
        <v>237</v>
      </c>
    </row>
  </sheetData>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49278-C885-4626-918F-22B9EA08CAD8}">
  <dimension ref="A1"/>
  <sheetViews>
    <sheetView workbookViewId="0">
      <selection activeCell="U1" sqref="U1"/>
    </sheetView>
  </sheetViews>
  <sheetFormatPr defaultColWidth="8.77734375" defaultRowHeight="14.4"/>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Variable Reference</vt:lpstr>
      <vt:lpstr>Main_Input</vt:lpstr>
      <vt:lpstr>Airfoil_Data</vt:lpstr>
      <vt:lpstr>Propulsion</vt:lpstr>
      <vt:lpstr>Lists</vt:lpstr>
      <vt:lpstr>Geometry Reference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K Mah</dc:creator>
  <cp:lastModifiedBy>Natsumi Kakuda</cp:lastModifiedBy>
  <dcterms:created xsi:type="dcterms:W3CDTF">2023-12-05T19:03:00Z</dcterms:created>
  <dcterms:modified xsi:type="dcterms:W3CDTF">2026-09-13T17:10:48Z</dcterms:modified>
</cp:coreProperties>
</file>