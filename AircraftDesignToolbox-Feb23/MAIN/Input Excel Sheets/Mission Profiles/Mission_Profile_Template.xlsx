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ircraftDesignToolbox-Feb23/MAIN/Input Excel Sheets/Mission Profiles/"/>
    </mc:Choice>
  </mc:AlternateContent>
  <xr:revisionPtr revIDLastSave="10" documentId="13_ncr:1_{7F03FA73-868E-FF44-83A6-FB5542F8BA1C}" xr6:coauthVersionLast="47" xr6:coauthVersionMax="47" xr10:uidLastSave="{A2F8AC90-2A36-4CF0-9DAF-D4D3B073F76A}"/>
  <bookViews>
    <workbookView xWindow="-108" yWindow="-108" windowWidth="23256" windowHeight="13896" activeTab="1" xr2:uid="{AC12A90C-16A5-0547-A6DB-57534C200D25}"/>
  </bookViews>
  <sheets>
    <sheet name="Templates" sheetId="2" r:id="rId1"/>
    <sheet name="F16" sheetId="1" r:id="rId2"/>
    <sheet name="F16 Refuel" sheetId="11" r:id="rId3"/>
    <sheet name="F16 Supercruise" sheetId="12" r:id="rId4"/>
    <sheet name="B747-200" sheetId="3" r:id="rId5"/>
    <sheet name="C172" sheetId="5" r:id="rId6"/>
    <sheet name="Electric C172" sheetId="6" r:id="rId7"/>
    <sheet name="TurboTil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D15" i="5"/>
</calcChain>
</file>

<file path=xl/sharedStrings.xml><?xml version="1.0" encoding="utf-8"?>
<sst xmlns="http://schemas.openxmlformats.org/spreadsheetml/2006/main" count="439" uniqueCount="42">
  <si>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</si>
  <si>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</si>
  <si>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</si>
  <si>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</si>
  <si>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</si>
  <si>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</si>
  <si>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</si>
  <si>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</si>
  <si>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</si>
  <si>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</si>
  <si>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</si>
  <si>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</si>
  <si>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</si>
  <si>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</si>
  <si>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</si>
  <si>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</si>
  <si>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</si>
  <si>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</si>
  <si>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</si>
  <si>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</si>
  <si>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</si>
  <si>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</si>
  <si>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</si>
  <si>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</si>
  <si>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</si>
  <si>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</si>
  <si>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</si>
  <si>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</si>
  <si>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</si>
  <si>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</si>
  <si>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</si>
  <si>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</si>
  <si>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</si>
  <si>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</si>
  <si>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</si>
  <si>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</si>
  <si>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</si>
  <si>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</si>
  <si>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</si>
  <si>
    <t>Air Refuel</t>
  </si>
  <si>
    <t>Fuel Added [lbs]</t>
  </si>
  <si>
    <t>Supercruise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</si>
</sst>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4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7" fillId="3" borderId="11" xfId="0" applyFont="1" applyFill="1" applyBorder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9" fillId="5" borderId="12" xfId="0" applyFont="1" applyFill="1" applyBorder="1"/>
    <xf numFmtId="0" fontId="1" fillId="2" borderId="13" xfId="0" applyFont="1" applyFill="1" applyBorder="1"/>
    <xf numFmtId="0" fontId="2" fillId="2" borderId="1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15" xfId="0" applyFont="1" applyFill="1" applyBorder="1"/>
    <xf numFmtId="0" fontId="2" fillId="2" borderId="15" xfId="0" applyFont="1" applyFill="1" applyBorder="1"/>
    <xf numFmtId="0" fontId="2" fillId="0" borderId="15" xfId="0" applyFont="1" applyBorder="1"/>
    <xf numFmtId="0" fontId="2" fillId="2" borderId="4" xfId="0" applyFont="1" applyFill="1" applyBorder="1"/>
    <xf numFmtId="0" fontId="9" fillId="5" borderId="12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9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J200" totalsRowShown="0" headerRowDxfId="96" dataDxfId="95" tableBorderDxfId="94">
  <autoFilter ref="A1:J200" xr:uid="{E9D8E600-FE9F-5C45-8634-0D6DD0E667E3}"/>
  <tableColumns count="10">
    <tableColumn id="1" xr3:uid="{F919674C-10DC-DE44-A9F3-90B3D200DA5E}" name="Segment #" dataDxfId="93"/>
    <tableColumn id="2" xr3:uid="{CBE9135E-D43C-B64F-82F2-4030E55EBC51}" name="Segment Type" dataDxfId="92"/>
    <tableColumn id="3" xr3:uid="{41824150-61A9-7E43-BA0E-0D841F02D9D0}" name="Input 1" dataDxfId="91"/>
    <tableColumn id="4" xr3:uid="{2CB221DF-97B6-3A4B-AA29-385AAD8EC923}" name="Input 2" dataDxfId="90"/>
    <tableColumn id="5" xr3:uid="{8A52CDC3-99A4-6F43-8D92-A339D636927D}" name="Input 3" dataDxfId="89"/>
    <tableColumn id="6" xr3:uid="{14091491-0BCB-3A45-9BC5-4515396CA540}" name="Input 4" dataDxfId="88"/>
    <tableColumn id="7" xr3:uid="{3E4C5F17-B6DA-944B-9CFE-147012A5B23F}" name="Input 5" dataDxfId="87"/>
    <tableColumn id="8" xr3:uid="{C85697CD-6A76-EB47-A95B-AE2F7873920E}" name="Input 6" dataDxfId="86"/>
    <tableColumn id="9" xr3:uid="{818CDA49-0E39-2946-8757-A9D15E8D4A6E}" name="Input 7" dataDxfId="85"/>
    <tableColumn id="10" xr3:uid="{3F0DAC1D-EB2F-FC4C-AEEC-B9F4795484F8}" name="Input 8" dataDxfId="8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200" totalsRowShown="0" headerRowDxfId="83" dataDxfId="82" tableBorderDxfId="81">
  <autoFilter ref="A1:J200" xr:uid="{E9D8E600-FE9F-5C45-8634-0D6DD0E667E3}"/>
  <tableColumns count="10">
    <tableColumn id="1" xr3:uid="{238E6AD2-3D26-8E46-BC2A-ED22F701D26C}" name="Segment #" dataDxfId="80"/>
    <tableColumn id="2" xr3:uid="{EF523A95-70C3-F04A-BBD7-6188BC65AFE2}" name="Segment Type" dataDxfId="79"/>
    <tableColumn id="3" xr3:uid="{93FD7BD7-E7F6-FD41-9C20-A13BEBF0061F}" name="Input 1" dataDxfId="78"/>
    <tableColumn id="4" xr3:uid="{56AE60CA-B686-D747-BDCE-306D07D3398F}" name="Input 2" dataDxfId="77"/>
    <tableColumn id="5" xr3:uid="{65666244-440C-2D44-BBAB-32E73BE4DFFC}" name="Input 3" dataDxfId="76"/>
    <tableColumn id="6" xr3:uid="{722A5B16-263F-7447-968B-F8797F2D5327}" name="Input 4" dataDxfId="75"/>
    <tableColumn id="7" xr3:uid="{AEBEC522-560B-E147-893B-457A284D8CD1}" name="Input 5" dataDxfId="74"/>
    <tableColumn id="8" xr3:uid="{BCF70B12-8E6D-A44F-8571-6850F8D2FCC0}" name="Input 6" dataDxfId="73"/>
    <tableColumn id="9" xr3:uid="{DD713BDF-FD97-5F46-ACBD-E10979DBAB9A}" name="Input 7" dataDxfId="72"/>
    <tableColumn id="10" xr3:uid="{154AD48E-C823-2142-822C-D07E802BABBB}" name="Input 8" dataDxfId="7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70" dataDxfId="69" tableBorderDxfId="68">
  <autoFilter ref="A1:J200" xr:uid="{E9D8E600-FE9F-5C45-8634-0D6DD0E667E3}"/>
  <tableColumns count="10">
    <tableColumn id="1" xr3:uid="{D23BA427-6FDC-6C46-AADC-76777DF0599D}" name="Segment #" dataDxfId="67"/>
    <tableColumn id="2" xr3:uid="{AF07C20E-012B-4A4D-9685-4B5C108A0C48}" name="Segment Type" dataDxfId="66"/>
    <tableColumn id="3" xr3:uid="{4435643B-BB1E-B147-82C8-67CCC931376A}" name="Input 1" dataDxfId="65"/>
    <tableColumn id="4" xr3:uid="{0B4DDA9A-2037-CD43-BDB5-1B7EC266CFA6}" name="Input 2" dataDxfId="64"/>
    <tableColumn id="5" xr3:uid="{86FFB808-2BA0-844B-8C45-E32051CFF226}" name="Input 3" dataDxfId="63"/>
    <tableColumn id="6" xr3:uid="{F128F1FB-77A9-344F-BFE0-756AD971F3AA}" name="Input 4" dataDxfId="62"/>
    <tableColumn id="7" xr3:uid="{FC13F1AE-660A-024C-9FD6-B2953ADD8A85}" name="Input 5" dataDxfId="61"/>
    <tableColumn id="8" xr3:uid="{3E1346B8-FB5C-6842-91DE-8C95912BEF7C}" name="Input 6" dataDxfId="60"/>
    <tableColumn id="9" xr3:uid="{C19B4E6F-21EC-B346-A54F-D52512B94A8A}" name="Input 7" dataDxfId="59"/>
    <tableColumn id="10" xr3:uid="{6524E215-8B7D-1E43-A2C0-2C1B780A18A9}" name="Input 8" dataDxfId="5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57" dataDxfId="56" tableBorderDxfId="55">
  <autoFilter ref="A1:J200" xr:uid="{E9D8E600-FE9F-5C45-8634-0D6DD0E667E3}"/>
  <tableColumns count="10">
    <tableColumn id="1" xr3:uid="{15EB4EF6-08A8-964E-ABD5-0CF3EEC0C7B7}" name="Segment #" dataDxfId="54"/>
    <tableColumn id="2" xr3:uid="{10C18371-46B8-6544-9972-D21BFA1DB0CD}" name="Segment Type" dataDxfId="53"/>
    <tableColumn id="3" xr3:uid="{526667C5-306E-7D43-B338-699328AA6680}" name="Input 1" dataDxfId="52"/>
    <tableColumn id="4" xr3:uid="{285F1D9C-6790-F049-8810-78F8A349CEA8}" name="Input 2" dataDxfId="51"/>
    <tableColumn id="5" xr3:uid="{414CB0C1-F49D-4248-9E2F-428FEB38D5DA}" name="Input 3" dataDxfId="50"/>
    <tableColumn id="6" xr3:uid="{7993028E-EBAF-D840-BAB7-8BA72340BA98}" name="Input 4" dataDxfId="49"/>
    <tableColumn id="7" xr3:uid="{6617A981-14C9-8C42-A72A-0EB397E2F530}" name="Input 5" dataDxfId="48"/>
    <tableColumn id="8" xr3:uid="{7AE9ECDF-5690-DE42-BC09-5934349F52E2}" name="Input 6" dataDxfId="47"/>
    <tableColumn id="9" xr3:uid="{D1E2BD85-064E-C746-9E9E-6DA887B3E2CA}" name="Input 7" dataDxfId="46"/>
    <tableColumn id="10" xr3:uid="{F7213638-D701-E04E-A444-9564EC9CA3EE}" name="Input 8" dataDxfId="4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96E24-F920-3746-8F65-E5B931046F2F}" name="Table32356" displayName="Table32356" ref="A1:J200" totalsRowShown="0" headerRowDxfId="44" dataDxfId="43" tableBorderDxfId="42">
  <autoFilter ref="A1:J200" xr:uid="{E9D8E600-FE9F-5C45-8634-0D6DD0E667E3}"/>
  <tableColumns count="10">
    <tableColumn id="1" xr3:uid="{264E5E71-64D5-4848-98FC-310DDE9BE2F0}" name="Segment #" dataDxfId="41"/>
    <tableColumn id="2" xr3:uid="{D2225D06-E02C-C549-87F7-3353742F6B06}" name="Segment Type" dataDxfId="40"/>
    <tableColumn id="3" xr3:uid="{24A1C873-5494-B448-905C-3F04960950D9}" name="Input 1" dataDxfId="39"/>
    <tableColumn id="4" xr3:uid="{65EDE454-5AE7-9743-ACEF-8B6D2EE8CD5A}" name="Input 2" dataDxfId="38"/>
    <tableColumn id="5" xr3:uid="{00D321E5-D97A-3444-9FE6-4FE518963C97}" name="Input 3" dataDxfId="37"/>
    <tableColumn id="6" xr3:uid="{957FC5B6-2B62-C54E-AF35-1DF4E22C42E4}" name="Input 4" dataDxfId="36"/>
    <tableColumn id="7" xr3:uid="{9093DB15-328E-5A4B-9395-A1450A694DEB}" name="Input 5" dataDxfId="35"/>
    <tableColumn id="8" xr3:uid="{3AA53B55-2ECA-DE4C-864A-057F11AB5301}" name="Input 6" dataDxfId="34"/>
    <tableColumn id="9" xr3:uid="{3145D265-B081-3E4A-9430-79C80AD3EF2F}" name="Input 7" dataDxfId="33"/>
    <tableColumn id="10" xr3:uid="{97A5763C-F649-494F-993C-4F23C99334BE}" name="Input 8" dataDxfId="3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sqref="A1:B2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8" t="s">
        <v>15</v>
      </c>
      <c r="B1" s="21" t="s">
        <v>16</v>
      </c>
      <c r="C1" s="18"/>
      <c r="D1" s="18"/>
      <c r="E1" s="18"/>
      <c r="F1" s="18"/>
    </row>
    <row r="2" spans="1:6" ht="15.6">
      <c r="A2" s="4"/>
      <c r="B2" s="22">
        <v>0.995</v>
      </c>
      <c r="C2" s="3"/>
      <c r="D2" s="3"/>
      <c r="E2" s="3"/>
      <c r="F2" s="3"/>
    </row>
    <row r="3" spans="1:6" ht="15.6">
      <c r="A3" s="28"/>
      <c r="B3" s="18"/>
      <c r="C3" s="18"/>
      <c r="D3" s="18"/>
      <c r="E3" s="18"/>
      <c r="F3" s="18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8"/>
      <c r="B5" s="18">
        <v>0</v>
      </c>
      <c r="C5" s="18">
        <v>1.5</v>
      </c>
      <c r="D5" s="18">
        <v>0.05</v>
      </c>
      <c r="E5" s="18">
        <v>0</v>
      </c>
      <c r="F5" s="18"/>
    </row>
    <row r="6" spans="1:6" ht="15.6">
      <c r="A6" s="4"/>
      <c r="B6" s="3"/>
      <c r="C6" s="3"/>
      <c r="D6" s="3"/>
      <c r="E6" s="3"/>
      <c r="F6" s="3"/>
    </row>
    <row r="7" spans="1:6" s="17" customFormat="1" ht="15.6">
      <c r="A7" s="21" t="s">
        <v>4</v>
      </c>
      <c r="B7" s="21" t="s">
        <v>8</v>
      </c>
      <c r="C7" s="21" t="s">
        <v>9</v>
      </c>
      <c r="D7" s="21" t="s">
        <v>6</v>
      </c>
      <c r="E7" s="21" t="s">
        <v>7</v>
      </c>
      <c r="F7" s="21" t="s">
        <v>32</v>
      </c>
    </row>
    <row r="8" spans="1:6" s="19" customFormat="1" ht="18">
      <c r="A8" s="23"/>
      <c r="B8" s="23">
        <v>0</v>
      </c>
      <c r="C8" s="23">
        <v>10000</v>
      </c>
      <c r="D8" s="23">
        <v>0.1</v>
      </c>
      <c r="E8" s="23">
        <v>0.4</v>
      </c>
      <c r="F8" s="23">
        <v>0</v>
      </c>
    </row>
    <row r="9" spans="1:6" ht="15.6">
      <c r="A9" s="28"/>
      <c r="B9" s="18"/>
      <c r="C9" s="18"/>
      <c r="D9" s="18"/>
      <c r="E9" s="18"/>
      <c r="F9" s="18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8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 ht="15.6">
      <c r="A12" s="4"/>
      <c r="B12" s="3"/>
      <c r="C12" s="3"/>
      <c r="D12" s="3"/>
      <c r="E12" s="3"/>
      <c r="F12" s="3"/>
    </row>
    <row r="13" spans="1:6" s="17" customFormat="1" ht="15.6">
      <c r="A13" s="21" t="s">
        <v>12</v>
      </c>
      <c r="B13" s="21" t="s">
        <v>5</v>
      </c>
      <c r="C13" s="21" t="s">
        <v>13</v>
      </c>
      <c r="D13" s="21" t="s">
        <v>34</v>
      </c>
      <c r="E13" s="21"/>
      <c r="F13" s="21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8"/>
      <c r="B15" s="18"/>
      <c r="C15" s="18"/>
      <c r="D15" s="18"/>
      <c r="E15" s="18"/>
      <c r="F15" s="18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8"/>
      <c r="B17" s="18">
        <v>0.99</v>
      </c>
      <c r="C17" s="18"/>
      <c r="D17" s="18"/>
      <c r="E17" s="18"/>
      <c r="F17" s="18"/>
    </row>
    <row r="18" spans="1:6" ht="15.6">
      <c r="A18" s="4"/>
      <c r="B18" s="3"/>
      <c r="C18" s="3"/>
      <c r="D18" s="3"/>
      <c r="E18" s="3"/>
      <c r="F18" s="3"/>
    </row>
    <row r="19" spans="1:6" ht="15.6">
      <c r="A19" s="28" t="s">
        <v>27</v>
      </c>
      <c r="B19" s="21" t="s">
        <v>16</v>
      </c>
      <c r="C19" s="18"/>
      <c r="D19" s="18"/>
      <c r="E19" s="18"/>
      <c r="F19" s="18"/>
    </row>
    <row r="20" spans="1:6" ht="15.6">
      <c r="A20" s="3"/>
      <c r="B20" s="22">
        <v>0.999</v>
      </c>
      <c r="C20" s="3"/>
      <c r="D20" s="3"/>
      <c r="E20" s="3"/>
      <c r="F20" s="3"/>
    </row>
    <row r="21" spans="1:6" ht="18">
      <c r="A21" s="18"/>
      <c r="B21" s="18"/>
      <c r="C21" s="18"/>
      <c r="D21" s="18"/>
      <c r="E21" s="18"/>
      <c r="F21" s="18"/>
    </row>
    <row r="22" spans="1:6" ht="15.6">
      <c r="A22" s="28" t="s">
        <v>28</v>
      </c>
      <c r="B22" s="18" t="s">
        <v>29</v>
      </c>
      <c r="C22" s="18"/>
      <c r="D22" s="18"/>
      <c r="E22" s="18"/>
      <c r="F22" s="18"/>
    </row>
    <row r="23" spans="1:6" ht="15.6">
      <c r="A23" s="4"/>
      <c r="B23" s="3">
        <v>1000</v>
      </c>
      <c r="C23" s="3"/>
      <c r="D23" s="3"/>
      <c r="E23" s="3"/>
      <c r="F23" s="3"/>
    </row>
    <row r="24" spans="1:6" ht="18">
      <c r="A24" s="29"/>
      <c r="B24" s="29"/>
      <c r="C24" s="29"/>
      <c r="D24" s="29"/>
      <c r="E24" s="29"/>
      <c r="F24" s="29"/>
    </row>
    <row r="25" spans="1:6" ht="15.6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 ht="18">
      <c r="A26" s="29"/>
      <c r="B26" s="29">
        <v>0</v>
      </c>
      <c r="C26" s="29">
        <v>20</v>
      </c>
      <c r="D26" s="29">
        <v>250</v>
      </c>
      <c r="E26" s="29"/>
      <c r="F26" s="29"/>
    </row>
  </sheetData>
  <conditionalFormatting sqref="A25:E26">
    <cfRule type="expression" dxfId="31" priority="1">
      <formula>MOD(ROW(),2)=0</formula>
    </cfRule>
  </conditionalFormatting>
  <conditionalFormatting sqref="B1:F12 F13:F20 B15:E20 A21:F21 B22:F23">
    <cfRule type="expression" dxfId="3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J200"/>
  <sheetViews>
    <sheetView tabSelected="1" zoomScale="125" zoomScaleNormal="111" workbookViewId="0">
      <selection activeCell="F4" sqref="F4"/>
    </sheetView>
  </sheetViews>
  <sheetFormatPr defaultColWidth="10.796875" defaultRowHeight="15"/>
  <cols>
    <col min="1" max="1" width="15.796875" style="2" customWidth="1"/>
    <col min="2" max="2" width="21.296875" style="2" customWidth="1"/>
    <col min="3" max="3" width="22.19921875" style="2" bestFit="1" customWidth="1"/>
    <col min="4" max="4" width="14" style="2" customWidth="1"/>
    <col min="5" max="5" width="13.19921875" style="2" bestFit="1" customWidth="1"/>
    <col min="6" max="6" width="12.296875" style="2" bestFit="1" customWidth="1"/>
    <col min="7" max="7" width="11.5" style="2" bestFit="1" customWidth="1"/>
    <col min="8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ht="15.6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5.6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ht="15.6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ht="15.6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 ht="15.6">
      <c r="A10" s="8">
        <v>5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ht="15.6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 ht="15.6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ht="15.6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 ht="15.6">
      <c r="A14" s="8">
        <v>7</v>
      </c>
      <c r="B14" s="4" t="s">
        <v>28</v>
      </c>
      <c r="C14" s="22" t="s">
        <v>29</v>
      </c>
      <c r="D14" s="3"/>
      <c r="E14" s="3"/>
      <c r="F14" s="4"/>
      <c r="G14" s="3"/>
      <c r="H14" s="3"/>
      <c r="I14" s="3"/>
      <c r="J14" s="9"/>
    </row>
    <row r="15" spans="1:10" ht="15.6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 ht="15.6">
      <c r="A16" s="8">
        <v>8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ht="15.6">
      <c r="A17" s="8"/>
      <c r="B17" s="3"/>
      <c r="C17" s="3">
        <v>30000</v>
      </c>
      <c r="D17" s="3">
        <v>50</v>
      </c>
      <c r="E17" s="3">
        <v>1.3</v>
      </c>
      <c r="F17" s="3">
        <v>0</v>
      </c>
      <c r="G17" s="3"/>
      <c r="H17" s="3"/>
      <c r="I17" s="3"/>
      <c r="J17" s="9"/>
    </row>
    <row r="18" spans="1:10" ht="15.6">
      <c r="A18" s="8">
        <v>9</v>
      </c>
      <c r="B18" s="3" t="s">
        <v>10</v>
      </c>
      <c r="C18" s="3" t="s">
        <v>5</v>
      </c>
      <c r="D18" s="3" t="s">
        <v>17</v>
      </c>
      <c r="E18" s="3" t="s">
        <v>11</v>
      </c>
      <c r="F18" s="3" t="s">
        <v>33</v>
      </c>
      <c r="G18" s="3"/>
      <c r="H18" s="3"/>
      <c r="I18" s="3"/>
      <c r="J18" s="9"/>
    </row>
    <row r="19" spans="1:10" ht="15.6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 ht="15.6">
      <c r="A20" s="8">
        <v>10</v>
      </c>
      <c r="B20" s="3" t="s">
        <v>12</v>
      </c>
      <c r="C20" s="3" t="s">
        <v>5</v>
      </c>
      <c r="D20" s="3" t="s">
        <v>13</v>
      </c>
      <c r="E20" s="3" t="s">
        <v>34</v>
      </c>
      <c r="F20" s="3"/>
      <c r="G20" s="3"/>
      <c r="H20" s="3"/>
      <c r="I20" s="3"/>
      <c r="J20" s="9"/>
    </row>
    <row r="21" spans="1:10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>
      <c r="A22" s="6">
        <v>11</v>
      </c>
      <c r="B22" s="3" t="s">
        <v>26</v>
      </c>
      <c r="C22" s="3" t="s">
        <v>16</v>
      </c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>
      <c r="A24" s="6">
        <v>12</v>
      </c>
      <c r="B24" s="3" t="s">
        <v>27</v>
      </c>
      <c r="C24" s="3" t="s">
        <v>16</v>
      </c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B1 D1:XFD1 B2:XFD13 F14:XFD21 B16:E21 A22:XFD1048576">
    <cfRule type="expression" dxfId="29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3B9C-53B6-C045-9A3D-84EB57D900B8}">
  <dimension ref="A1:J33"/>
  <sheetViews>
    <sheetView topLeftCell="A3" workbookViewId="0">
      <selection activeCell="I13" sqref="I13"/>
    </sheetView>
  </sheetViews>
  <sheetFormatPr defaultColWidth="11.19921875" defaultRowHeight="15.6"/>
  <cols>
    <col min="2" max="2" width="12.5" bestFit="1" customWidth="1"/>
    <col min="3" max="3" width="22.19921875" bestFit="1" customWidth="1"/>
    <col min="4" max="4" width="15.8984375" bestFit="1" customWidth="1"/>
    <col min="5" max="5" width="13.19921875" bestFit="1" customWidth="1"/>
    <col min="6" max="6" width="12" bestFit="1" customWidth="1"/>
  </cols>
  <sheetData>
    <row r="1" spans="1:10" ht="31.8" thickBot="1">
      <c r="A1" s="41" t="s">
        <v>30</v>
      </c>
      <c r="B1" s="41" t="s">
        <v>14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1" t="s">
        <v>23</v>
      </c>
      <c r="I1" s="41" t="s">
        <v>24</v>
      </c>
      <c r="J1" s="41" t="s">
        <v>25</v>
      </c>
    </row>
    <row r="2" spans="1:10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>
      <c r="A16" s="35">
        <v>8</v>
      </c>
      <c r="B16" s="18" t="s">
        <v>10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>
      <c r="A17" s="8"/>
      <c r="B17" s="3"/>
      <c r="C17" s="3">
        <v>30000</v>
      </c>
      <c r="D17" s="3">
        <v>30</v>
      </c>
      <c r="E17" s="3">
        <v>1.5</v>
      </c>
      <c r="F17" s="3">
        <v>0</v>
      </c>
      <c r="G17" s="3"/>
      <c r="H17" s="3"/>
      <c r="I17" s="3"/>
      <c r="J17" s="9"/>
    </row>
    <row r="18" spans="1:10">
      <c r="A18" s="37">
        <v>9</v>
      </c>
      <c r="B18" s="37" t="s">
        <v>39</v>
      </c>
      <c r="C18" s="38" t="s">
        <v>40</v>
      </c>
      <c r="D18" s="38"/>
      <c r="E18" s="38"/>
      <c r="F18" s="38"/>
      <c r="G18" s="38"/>
      <c r="H18" s="38"/>
      <c r="I18" s="38"/>
      <c r="J18" s="38"/>
    </row>
    <row r="19" spans="1:10">
      <c r="A19" s="39"/>
      <c r="B19" s="39"/>
      <c r="C19" s="39">
        <v>3000</v>
      </c>
      <c r="D19" s="39"/>
      <c r="E19" s="39"/>
      <c r="F19" s="39"/>
      <c r="G19" s="39"/>
      <c r="H19" s="39"/>
      <c r="I19" s="39"/>
      <c r="J19" s="39"/>
    </row>
    <row r="20" spans="1:10">
      <c r="A20" s="35">
        <v>10</v>
      </c>
      <c r="B20" s="18" t="s">
        <v>10</v>
      </c>
      <c r="C20" s="18" t="s">
        <v>5</v>
      </c>
      <c r="D20" s="18" t="s">
        <v>17</v>
      </c>
      <c r="E20" s="18" t="s">
        <v>11</v>
      </c>
      <c r="F20" s="18" t="s">
        <v>33</v>
      </c>
      <c r="G20" s="18"/>
      <c r="H20" s="18"/>
      <c r="I20" s="18"/>
      <c r="J20" s="36"/>
    </row>
    <row r="21" spans="1:10">
      <c r="A21" s="8"/>
      <c r="B21" s="3"/>
      <c r="C21" s="3">
        <v>30000</v>
      </c>
      <c r="D21" s="3">
        <v>500</v>
      </c>
      <c r="E21" s="3">
        <v>0.8</v>
      </c>
      <c r="F21" s="3">
        <v>0</v>
      </c>
      <c r="G21" s="3"/>
      <c r="H21" s="3"/>
      <c r="I21" s="3"/>
      <c r="J21" s="9"/>
    </row>
    <row r="22" spans="1:10">
      <c r="A22" s="35">
        <v>11</v>
      </c>
      <c r="B22" s="18" t="s">
        <v>12</v>
      </c>
      <c r="C22" s="18" t="s">
        <v>5</v>
      </c>
      <c r="D22" s="18" t="s">
        <v>13</v>
      </c>
      <c r="E22" s="18" t="s">
        <v>34</v>
      </c>
      <c r="F22" s="18"/>
      <c r="G22" s="18"/>
      <c r="H22" s="18"/>
      <c r="I22" s="18"/>
      <c r="J22" s="36"/>
    </row>
    <row r="23" spans="1:10">
      <c r="A23" s="6"/>
      <c r="B23" s="3"/>
      <c r="C23" s="3">
        <v>10000</v>
      </c>
      <c r="D23" s="3">
        <v>0.5</v>
      </c>
      <c r="E23" s="3">
        <v>0</v>
      </c>
      <c r="F23" s="3"/>
      <c r="G23" s="3"/>
      <c r="H23" s="3"/>
      <c r="I23" s="3"/>
      <c r="J23" s="9"/>
    </row>
    <row r="24" spans="1:10">
      <c r="A24" s="40">
        <v>12</v>
      </c>
      <c r="B24" s="18" t="s">
        <v>26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>
      <c r="A25" s="6"/>
      <c r="B25" s="3"/>
      <c r="C25" s="3">
        <v>0.99</v>
      </c>
      <c r="D25" s="3"/>
      <c r="E25" s="3"/>
      <c r="F25" s="3"/>
      <c r="G25" s="3"/>
      <c r="H25" s="3"/>
      <c r="I25" s="3"/>
      <c r="J25" s="9"/>
    </row>
    <row r="26" spans="1:10">
      <c r="A26" s="40">
        <v>13</v>
      </c>
      <c r="B26" s="18" t="s">
        <v>27</v>
      </c>
      <c r="C26" s="18" t="s">
        <v>16</v>
      </c>
      <c r="D26" s="18"/>
      <c r="E26" s="18"/>
      <c r="F26" s="18"/>
      <c r="G26" s="18"/>
      <c r="H26" s="18"/>
      <c r="I26" s="18"/>
      <c r="J26" s="36"/>
    </row>
    <row r="27" spans="1:10">
      <c r="A27" s="6"/>
      <c r="B27" s="3"/>
      <c r="C27" s="3">
        <v>0.999</v>
      </c>
      <c r="D27" s="3"/>
      <c r="E27" s="3"/>
      <c r="F27" s="3"/>
      <c r="G27" s="3"/>
      <c r="H27" s="3"/>
      <c r="I27" s="3"/>
      <c r="J27" s="9"/>
    </row>
    <row r="28" spans="1:10">
      <c r="A28" s="40"/>
      <c r="B28" s="18"/>
      <c r="C28" s="18"/>
      <c r="D28" s="18"/>
      <c r="E28" s="18"/>
      <c r="F28" s="18"/>
      <c r="G28" s="18"/>
      <c r="H28" s="18"/>
      <c r="I28" s="18"/>
      <c r="J28" s="36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40"/>
      <c r="B30" s="18"/>
      <c r="C30" s="18"/>
      <c r="D30" s="18"/>
      <c r="E30" s="18"/>
      <c r="F30" s="18"/>
      <c r="G30" s="18"/>
      <c r="H30" s="18"/>
      <c r="I30" s="18"/>
      <c r="J30" s="36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40"/>
      <c r="B32" s="18"/>
      <c r="C32" s="18"/>
      <c r="D32" s="18"/>
      <c r="E32" s="18"/>
      <c r="F32" s="18"/>
      <c r="G32" s="18"/>
      <c r="H32" s="18"/>
      <c r="I32" s="18"/>
      <c r="J32" s="36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</sheetData>
  <conditionalFormatting sqref="A1:B1 D1:J1 B2:J13 F14:J17 B16:E17 B20:J23 A24:J33">
    <cfRule type="expression" dxfId="28" priority="2">
      <formula>MOD(ROW(),2)=0</formula>
    </cfRule>
  </conditionalFormatting>
  <conditionalFormatting sqref="C18:E18">
    <cfRule type="expression" dxfId="27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03C-0B7F-764D-A72A-8154D45C32CD}">
  <dimension ref="A1:J27"/>
  <sheetViews>
    <sheetView workbookViewId="0">
      <selection activeCell="J30" sqref="J30"/>
    </sheetView>
  </sheetViews>
  <sheetFormatPr defaultColWidth="11.19921875" defaultRowHeight="15.6"/>
  <sheetData>
    <row r="1" spans="1:10" ht="16.2" thickBot="1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>
      <c r="A16" s="35">
        <v>8</v>
      </c>
      <c r="B16" s="18" t="s">
        <v>41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>
      <c r="A17" s="8"/>
      <c r="B17" s="3"/>
      <c r="C17" s="3">
        <v>30000</v>
      </c>
      <c r="D17" s="3">
        <v>30</v>
      </c>
      <c r="E17" s="3">
        <v>1.3</v>
      </c>
      <c r="F17" s="3">
        <v>0</v>
      </c>
      <c r="G17" s="3"/>
      <c r="H17" s="3"/>
      <c r="I17" s="3"/>
      <c r="J17" s="9"/>
    </row>
    <row r="18" spans="1:10">
      <c r="A18" s="35">
        <v>9</v>
      </c>
      <c r="B18" s="18" t="s">
        <v>10</v>
      </c>
      <c r="C18" s="18" t="s">
        <v>5</v>
      </c>
      <c r="D18" s="18" t="s">
        <v>17</v>
      </c>
      <c r="E18" s="18" t="s">
        <v>11</v>
      </c>
      <c r="F18" s="18" t="s">
        <v>33</v>
      </c>
      <c r="G18" s="18"/>
      <c r="H18" s="18"/>
      <c r="I18" s="18"/>
      <c r="J18" s="36"/>
    </row>
    <row r="19" spans="1:10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>
      <c r="A20" s="35">
        <v>10</v>
      </c>
      <c r="B20" s="18" t="s">
        <v>12</v>
      </c>
      <c r="C20" s="18" t="s">
        <v>5</v>
      </c>
      <c r="D20" s="18" t="s">
        <v>13</v>
      </c>
      <c r="E20" s="18" t="s">
        <v>34</v>
      </c>
      <c r="F20" s="18"/>
      <c r="G20" s="18"/>
      <c r="H20" s="18"/>
      <c r="I20" s="18"/>
      <c r="J20" s="36"/>
    </row>
    <row r="21" spans="1:10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>
      <c r="A22" s="40">
        <v>11</v>
      </c>
      <c r="B22" s="18" t="s">
        <v>26</v>
      </c>
      <c r="C22" s="18" t="s">
        <v>16</v>
      </c>
      <c r="D22" s="18"/>
      <c r="E22" s="18"/>
      <c r="F22" s="18"/>
      <c r="G22" s="18"/>
      <c r="H22" s="18"/>
      <c r="I22" s="18"/>
      <c r="J22" s="36"/>
    </row>
    <row r="23" spans="1:10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>
      <c r="A24" s="40">
        <v>12</v>
      </c>
      <c r="B24" s="18" t="s">
        <v>27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>
      <c r="A26" s="40"/>
      <c r="B26" s="18"/>
      <c r="C26" s="18"/>
      <c r="D26" s="18"/>
      <c r="E26" s="18"/>
      <c r="F26" s="18"/>
      <c r="G26" s="18"/>
      <c r="H26" s="18"/>
      <c r="I26" s="18"/>
      <c r="J26" s="36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</sheetData>
  <conditionalFormatting sqref="A1:B1 D1:J1 B2:J13 F14:J17 B16:E17 B18:J21 A22:J27">
    <cfRule type="expression" dxfId="26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200"/>
  <sheetViews>
    <sheetView zoomScale="135" zoomScaleNormal="111" workbookViewId="0">
      <selection activeCell="D15" sqref="D15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24">
        <v>1</v>
      </c>
      <c r="B2" s="24" t="s">
        <v>15</v>
      </c>
      <c r="C2" s="24" t="s">
        <v>16</v>
      </c>
      <c r="D2" s="24"/>
      <c r="E2" s="24"/>
      <c r="F2" s="26"/>
      <c r="G2" s="5"/>
      <c r="H2" s="5"/>
      <c r="I2" s="5"/>
      <c r="J2" s="7"/>
    </row>
    <row r="3" spans="1:10" ht="15.6">
      <c r="A3" s="25"/>
      <c r="B3" s="27"/>
      <c r="C3" s="27">
        <v>0.995</v>
      </c>
      <c r="D3" s="27"/>
      <c r="E3" s="27"/>
      <c r="F3" s="27"/>
      <c r="G3" s="3"/>
      <c r="H3" s="3"/>
      <c r="I3" s="3"/>
      <c r="J3" s="9"/>
    </row>
    <row r="4" spans="1:10" ht="15.6">
      <c r="A4" s="26">
        <v>2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31</v>
      </c>
      <c r="G4" s="3"/>
      <c r="H4" s="3"/>
      <c r="I4" s="3"/>
      <c r="J4" s="9"/>
    </row>
    <row r="5" spans="1:10" ht="15.6">
      <c r="A5" s="25"/>
      <c r="B5" s="27"/>
      <c r="C5" s="27">
        <v>0</v>
      </c>
      <c r="D5" s="27">
        <v>1.5</v>
      </c>
      <c r="E5" s="27">
        <v>0.05</v>
      </c>
      <c r="F5" s="27">
        <v>6.0000000000000001E-3</v>
      </c>
      <c r="G5" s="3"/>
      <c r="H5" s="3"/>
      <c r="I5" s="3"/>
      <c r="J5" s="9"/>
    </row>
    <row r="6" spans="1:10" ht="15.6">
      <c r="A6" s="26">
        <v>3</v>
      </c>
      <c r="B6" s="26" t="s">
        <v>4</v>
      </c>
      <c r="C6" s="26" t="s">
        <v>8</v>
      </c>
      <c r="D6" s="26" t="s">
        <v>9</v>
      </c>
      <c r="E6" s="26" t="s">
        <v>6</v>
      </c>
      <c r="F6" s="26" t="s">
        <v>7</v>
      </c>
      <c r="G6" s="3" t="s">
        <v>32</v>
      </c>
      <c r="H6" s="3"/>
      <c r="I6" s="3"/>
      <c r="J6" s="9"/>
    </row>
    <row r="7" spans="1:10" ht="15.6">
      <c r="A7" s="25"/>
      <c r="B7" s="27"/>
      <c r="C7" s="27">
        <v>0</v>
      </c>
      <c r="D7" s="27">
        <v>10000</v>
      </c>
      <c r="E7" s="27">
        <v>0.1</v>
      </c>
      <c r="F7" s="27">
        <v>0.4</v>
      </c>
      <c r="G7" s="3">
        <v>0</v>
      </c>
      <c r="H7" s="3"/>
      <c r="I7" s="3"/>
      <c r="J7" s="9"/>
    </row>
    <row r="8" spans="1:10" ht="15.6">
      <c r="A8" s="26">
        <v>4</v>
      </c>
      <c r="B8" s="26" t="s">
        <v>4</v>
      </c>
      <c r="C8" s="26" t="s">
        <v>8</v>
      </c>
      <c r="D8" s="26" t="s">
        <v>9</v>
      </c>
      <c r="E8" s="26" t="s">
        <v>6</v>
      </c>
      <c r="F8" s="26" t="s">
        <v>7</v>
      </c>
      <c r="G8" s="3" t="s">
        <v>32</v>
      </c>
      <c r="H8" s="3"/>
      <c r="I8" s="3"/>
      <c r="J8" s="9"/>
    </row>
    <row r="9" spans="1:10" ht="15.6">
      <c r="A9" s="25"/>
      <c r="B9" s="27"/>
      <c r="C9" s="27">
        <v>10000</v>
      </c>
      <c r="D9" s="27">
        <v>20000</v>
      </c>
      <c r="E9" s="27">
        <v>0.4</v>
      </c>
      <c r="F9" s="27">
        <v>0.6</v>
      </c>
      <c r="G9" s="3">
        <v>0</v>
      </c>
      <c r="H9" s="3"/>
      <c r="I9" s="3"/>
      <c r="J9" s="9"/>
    </row>
    <row r="10" spans="1:10" ht="15.6">
      <c r="A10" s="26">
        <v>5</v>
      </c>
      <c r="B10" s="26" t="s">
        <v>4</v>
      </c>
      <c r="C10" s="26" t="s">
        <v>8</v>
      </c>
      <c r="D10" s="26" t="s">
        <v>9</v>
      </c>
      <c r="E10" s="26" t="s">
        <v>6</v>
      </c>
      <c r="F10" s="26" t="s">
        <v>7</v>
      </c>
      <c r="G10" s="3" t="s">
        <v>32</v>
      </c>
      <c r="H10" s="3"/>
      <c r="I10" s="3"/>
      <c r="J10" s="9"/>
    </row>
    <row r="11" spans="1:10" ht="15.6">
      <c r="A11" s="25"/>
      <c r="B11" s="27"/>
      <c r="C11" s="27">
        <v>20000</v>
      </c>
      <c r="D11" s="27">
        <v>30000</v>
      </c>
      <c r="E11" s="27">
        <v>0.6</v>
      </c>
      <c r="F11" s="27">
        <v>0.7</v>
      </c>
      <c r="G11" s="3">
        <v>0</v>
      </c>
      <c r="H11" s="3"/>
      <c r="I11" s="3"/>
      <c r="J11" s="9"/>
    </row>
    <row r="12" spans="1:10" ht="15.6">
      <c r="A12" s="26">
        <v>6</v>
      </c>
      <c r="B12" s="26" t="s">
        <v>4</v>
      </c>
      <c r="C12" s="26" t="s">
        <v>8</v>
      </c>
      <c r="D12" s="26" t="s">
        <v>9</v>
      </c>
      <c r="E12" s="26" t="s">
        <v>6</v>
      </c>
      <c r="F12" s="26" t="s">
        <v>7</v>
      </c>
      <c r="G12" s="3" t="s">
        <v>32</v>
      </c>
      <c r="H12" s="3"/>
      <c r="I12" s="3"/>
      <c r="J12" s="9"/>
    </row>
    <row r="13" spans="1:10" ht="15.6">
      <c r="A13" s="25"/>
      <c r="B13" s="27"/>
      <c r="C13" s="27">
        <v>30000</v>
      </c>
      <c r="D13" s="27">
        <v>34000</v>
      </c>
      <c r="E13" s="27">
        <v>0.77</v>
      </c>
      <c r="F13" s="27">
        <v>0.77</v>
      </c>
      <c r="G13" s="3">
        <v>0</v>
      </c>
      <c r="H13" s="3"/>
      <c r="I13" s="3"/>
      <c r="J13" s="9"/>
    </row>
    <row r="14" spans="1:10" ht="15.6">
      <c r="A14" s="26">
        <v>7</v>
      </c>
      <c r="B14" s="26" t="s">
        <v>10</v>
      </c>
      <c r="C14" s="26" t="s">
        <v>5</v>
      </c>
      <c r="D14" s="26" t="s">
        <v>17</v>
      </c>
      <c r="E14" s="26" t="s">
        <v>11</v>
      </c>
      <c r="F14" s="26" t="s">
        <v>33</v>
      </c>
      <c r="G14" s="3"/>
      <c r="H14" s="3"/>
      <c r="I14" s="3"/>
      <c r="J14" s="9"/>
    </row>
    <row r="15" spans="1:10" ht="15.6">
      <c r="A15" s="25"/>
      <c r="B15" s="27"/>
      <c r="C15" s="27">
        <v>32000</v>
      </c>
      <c r="D15" s="27">
        <v>2000</v>
      </c>
      <c r="E15" s="27">
        <v>0.77</v>
      </c>
      <c r="F15" s="27">
        <v>0</v>
      </c>
      <c r="G15" s="3"/>
      <c r="H15" s="3"/>
      <c r="I15" s="3"/>
      <c r="J15" s="9"/>
    </row>
    <row r="16" spans="1:10" ht="15.6">
      <c r="A16" s="26">
        <v>8</v>
      </c>
      <c r="B16" s="26" t="s">
        <v>4</v>
      </c>
      <c r="C16" s="26" t="s">
        <v>8</v>
      </c>
      <c r="D16" s="26" t="s">
        <v>9</v>
      </c>
      <c r="E16" s="26" t="s">
        <v>6</v>
      </c>
      <c r="F16" s="26" t="s">
        <v>7</v>
      </c>
      <c r="G16" s="3" t="s">
        <v>32</v>
      </c>
      <c r="H16" s="3"/>
      <c r="I16" s="3"/>
      <c r="J16" s="9"/>
    </row>
    <row r="17" spans="1:10" ht="15.6">
      <c r="A17" s="25"/>
      <c r="B17" s="27"/>
      <c r="C17" s="27">
        <v>34000</v>
      </c>
      <c r="D17" s="27">
        <v>35000</v>
      </c>
      <c r="E17" s="27">
        <v>0.77</v>
      </c>
      <c r="F17" s="27">
        <v>0.77</v>
      </c>
      <c r="G17" s="3">
        <v>0</v>
      </c>
      <c r="H17" s="3"/>
      <c r="I17" s="3"/>
      <c r="J17" s="9"/>
    </row>
    <row r="18" spans="1:10" ht="15.6">
      <c r="A18" s="26">
        <v>9</v>
      </c>
      <c r="B18" s="26" t="s">
        <v>10</v>
      </c>
      <c r="C18" s="26" t="s">
        <v>5</v>
      </c>
      <c r="D18" s="26" t="s">
        <v>17</v>
      </c>
      <c r="E18" s="26" t="s">
        <v>11</v>
      </c>
      <c r="F18" s="26" t="s">
        <v>33</v>
      </c>
      <c r="G18" s="3"/>
      <c r="H18" s="3"/>
      <c r="I18" s="3"/>
      <c r="J18" s="9"/>
    </row>
    <row r="19" spans="1:10" ht="15.6">
      <c r="A19" s="25"/>
      <c r="B19" s="27"/>
      <c r="C19" s="27">
        <v>35000</v>
      </c>
      <c r="D19" s="27">
        <v>2000</v>
      </c>
      <c r="E19" s="27">
        <v>0.77</v>
      </c>
      <c r="F19" s="27">
        <v>0</v>
      </c>
      <c r="G19" s="3"/>
      <c r="H19" s="3"/>
      <c r="I19" s="3"/>
      <c r="J19" s="9"/>
    </row>
    <row r="20" spans="1:10" ht="15.6">
      <c r="A20" s="26">
        <v>10</v>
      </c>
      <c r="B20" s="26" t="s">
        <v>4</v>
      </c>
      <c r="C20" s="26" t="s">
        <v>8</v>
      </c>
      <c r="D20" s="26" t="s">
        <v>9</v>
      </c>
      <c r="E20" s="26" t="s">
        <v>6</v>
      </c>
      <c r="F20" s="26" t="s">
        <v>7</v>
      </c>
      <c r="G20" s="3" t="s">
        <v>32</v>
      </c>
      <c r="H20" s="3"/>
      <c r="I20" s="3"/>
      <c r="J20" s="9"/>
    </row>
    <row r="21" spans="1:10" ht="15.6">
      <c r="A21" s="25"/>
      <c r="B21" s="27"/>
      <c r="C21" s="27">
        <v>35000</v>
      </c>
      <c r="D21" s="27">
        <v>38000</v>
      </c>
      <c r="E21" s="27">
        <v>0.77</v>
      </c>
      <c r="F21" s="27">
        <v>0.77</v>
      </c>
      <c r="G21" s="3">
        <v>0</v>
      </c>
      <c r="H21" s="3"/>
      <c r="I21" s="3"/>
      <c r="J21" s="9"/>
    </row>
    <row r="22" spans="1:10" ht="15.6">
      <c r="A22" s="26">
        <v>11</v>
      </c>
      <c r="B22" s="26" t="s">
        <v>10</v>
      </c>
      <c r="C22" s="26" t="s">
        <v>5</v>
      </c>
      <c r="D22" s="26" t="s">
        <v>17</v>
      </c>
      <c r="E22" s="26" t="s">
        <v>11</v>
      </c>
      <c r="F22" s="26" t="s">
        <v>33</v>
      </c>
      <c r="G22" s="3"/>
      <c r="H22" s="3"/>
      <c r="I22" s="3"/>
      <c r="J22" s="9"/>
    </row>
    <row r="23" spans="1:10">
      <c r="A23" s="27"/>
      <c r="B23" s="27"/>
      <c r="C23" s="27">
        <v>38000</v>
      </c>
      <c r="D23" s="27">
        <v>2000</v>
      </c>
      <c r="E23" s="27">
        <v>0.77</v>
      </c>
      <c r="F23" s="27">
        <v>0</v>
      </c>
      <c r="G23" s="3"/>
      <c r="H23" s="3"/>
      <c r="I23" s="3"/>
      <c r="J23" s="9"/>
    </row>
    <row r="24" spans="1:10" ht="15.6">
      <c r="A24" s="8">
        <v>12</v>
      </c>
      <c r="B24" s="20" t="s">
        <v>12</v>
      </c>
      <c r="C24" s="21" t="s">
        <v>5</v>
      </c>
      <c r="D24" s="21" t="s">
        <v>13</v>
      </c>
      <c r="E24" s="21" t="s">
        <v>34</v>
      </c>
      <c r="F24" s="26"/>
      <c r="G24" s="3"/>
      <c r="H24" s="3"/>
      <c r="I24" s="3"/>
      <c r="J24" s="9"/>
    </row>
    <row r="25" spans="1:10" ht="15.6">
      <c r="A25" s="6"/>
      <c r="B25" s="8"/>
      <c r="C25" s="3">
        <v>10000</v>
      </c>
      <c r="D25" s="3">
        <v>0.25</v>
      </c>
      <c r="E25" s="3">
        <v>0</v>
      </c>
      <c r="F25" s="27"/>
      <c r="G25" s="3"/>
      <c r="H25" s="3"/>
      <c r="I25" s="3"/>
      <c r="J25" s="9"/>
    </row>
    <row r="26" spans="1:10" ht="15.6">
      <c r="A26" s="26">
        <v>13</v>
      </c>
      <c r="B26" s="26" t="s">
        <v>26</v>
      </c>
      <c r="C26" s="26" t="s">
        <v>16</v>
      </c>
      <c r="D26" s="3"/>
      <c r="E26" s="3"/>
      <c r="F26" s="3"/>
      <c r="G26" s="3"/>
      <c r="H26" s="3"/>
      <c r="I26" s="3"/>
      <c r="J26" s="9"/>
    </row>
    <row r="27" spans="1:10">
      <c r="A27" s="27"/>
      <c r="B27" s="27"/>
      <c r="C27" s="27">
        <v>0.99</v>
      </c>
      <c r="D27" s="3"/>
      <c r="E27" s="3"/>
      <c r="F27" s="3"/>
      <c r="G27" s="3"/>
      <c r="H27" s="3"/>
      <c r="I27" s="3"/>
      <c r="J27" s="9"/>
    </row>
    <row r="28" spans="1:10" ht="15.6">
      <c r="A28" s="26">
        <v>14</v>
      </c>
      <c r="B28" s="26" t="s">
        <v>27</v>
      </c>
      <c r="C28" s="26" t="s">
        <v>16</v>
      </c>
      <c r="D28" s="3"/>
      <c r="E28" s="3"/>
      <c r="F28" s="3"/>
      <c r="G28" s="3"/>
      <c r="H28" s="3"/>
      <c r="I28" s="3"/>
      <c r="J28" s="9"/>
    </row>
    <row r="29" spans="1:10">
      <c r="A29" s="27"/>
      <c r="B29" s="27"/>
      <c r="C29" s="27">
        <v>0.995</v>
      </c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phoneticPr fontId="6" type="noConversion"/>
  <conditionalFormatting sqref="A1">
    <cfRule type="expression" dxfId="25" priority="2">
      <formula>MOD(ROW(),2)=0</formula>
    </cfRule>
  </conditionalFormatting>
  <conditionalFormatting sqref="B1 D1:J1">
    <cfRule type="expression" dxfId="24" priority="1">
      <formula>MOD(ROW(),2)=0</formula>
    </cfRule>
  </conditionalFormatting>
  <conditionalFormatting sqref="K1:XFD1 G2:XFD25 A26:XFD1048576">
    <cfRule type="expression" dxfId="23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B16" sqref="B16:C19"/>
    </sheetView>
  </sheetViews>
  <sheetFormatPr defaultColWidth="10.796875" defaultRowHeight="15"/>
  <cols>
    <col min="1" max="1" width="15.796875" style="2" customWidth="1"/>
    <col min="2" max="2" width="15.5" style="2" customWidth="1"/>
    <col min="3" max="3" width="15.19921875" style="2" customWidth="1"/>
    <col min="4" max="4" width="15" style="2" customWidth="1"/>
    <col min="5" max="5" width="13" style="2" customWidth="1"/>
    <col min="6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ht="15.6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ht="15.6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ht="15.6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ht="15.6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 ht="15.6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5.6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 ht="15.6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ht="15.6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 ht="15.6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 ht="15.6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 ht="15.6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 ht="15.6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 ht="15.6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 ht="15.6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 ht="15.6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22" priority="7">
      <formula>MOD(ROW(),2)=0</formula>
    </cfRule>
  </conditionalFormatting>
  <conditionalFormatting sqref="B1 D1:J1">
    <cfRule type="expression" dxfId="21" priority="8">
      <formula>MOD(ROW(),2)=0</formula>
    </cfRule>
  </conditionalFormatting>
  <conditionalFormatting sqref="E14:E17">
    <cfRule type="expression" dxfId="20" priority="1">
      <formula>MOD(ROW(),2)=0</formula>
    </cfRule>
  </conditionalFormatting>
  <conditionalFormatting sqref="F4:F5">
    <cfRule type="expression" dxfId="19" priority="6">
      <formula>MOD(ROW(),2)=0</formula>
    </cfRule>
  </conditionalFormatting>
  <conditionalFormatting sqref="F10:F13">
    <cfRule type="expression" dxfId="18" priority="2">
      <formula>MOD(ROW(),2)=0</formula>
    </cfRule>
  </conditionalFormatting>
  <conditionalFormatting sqref="G6:G9">
    <cfRule type="expression" dxfId="17" priority="4">
      <formula>MOD(ROW(),2)=0</formula>
    </cfRule>
  </conditionalFormatting>
  <conditionalFormatting sqref="K1:XFD1 B2:XFD3 B4:E5 G4:XFD5 B6:F9 H6:XFD9 B10:E13 G10:XFD13 B14:D15 F14:XFD19 E20:XFD21 A22:XFD1048576">
    <cfRule type="expression" dxfId="16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E30" sqref="A2:J200"/>
    </sheetView>
  </sheetViews>
  <sheetFormatPr defaultColWidth="10.796875" defaultRowHeight="15"/>
  <cols>
    <col min="1" max="1" width="15.796875" style="2" customWidth="1"/>
    <col min="2" max="2" width="15.5" style="2" customWidth="1"/>
    <col min="3" max="3" width="18.69921875" style="2" customWidth="1"/>
    <col min="4" max="4" width="19.69921875" style="2" customWidth="1"/>
    <col min="5" max="5" width="17.19921875" style="2" customWidth="1"/>
    <col min="6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5.6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ht="15.6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5.6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5.6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ht="15.6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5.6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ht="15.6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5.6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5.6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5.6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5.6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5.6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5.6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5.6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5.6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15" priority="7">
      <formula>MOD(ROW(),2)=0</formula>
    </cfRule>
  </conditionalFormatting>
  <conditionalFormatting sqref="B1 D1:J1">
    <cfRule type="expression" dxfId="14" priority="8">
      <formula>MOD(ROW(),2)=0</formula>
    </cfRule>
  </conditionalFormatting>
  <conditionalFormatting sqref="B12:D13">
    <cfRule type="expression" dxfId="13" priority="2">
      <formula>MOD(ROW(),2)=0</formula>
    </cfRule>
  </conditionalFormatting>
  <conditionalFormatting sqref="E12:E15">
    <cfRule type="expression" dxfId="12" priority="1">
      <formula>MOD(ROW(),2)=0</formula>
    </cfRule>
  </conditionalFormatting>
  <conditionalFormatting sqref="F4:F11">
    <cfRule type="expression" dxfId="11" priority="3">
      <formula>MOD(ROW(),2)=0</formula>
    </cfRule>
  </conditionalFormatting>
  <conditionalFormatting sqref="G4:G7">
    <cfRule type="expression" dxfId="10" priority="5">
      <formula>MOD(ROW(),2)=0</formula>
    </cfRule>
  </conditionalFormatting>
  <conditionalFormatting sqref="K1:XFD1 E20:XFD21 A22:XFD1048576">
    <cfRule type="expression" dxfId="9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1092-A109-0D48-8CFB-61309AE25B28}">
  <dimension ref="A1:J200"/>
  <sheetViews>
    <sheetView zoomScale="103" zoomScaleNormal="111" workbookViewId="0">
      <selection activeCell="E21" sqref="E21"/>
    </sheetView>
  </sheetViews>
  <sheetFormatPr defaultColWidth="10.796875" defaultRowHeight="15"/>
  <cols>
    <col min="1" max="1" width="15.796875" style="2" customWidth="1"/>
    <col min="2" max="2" width="15.5" style="2" customWidth="1"/>
    <col min="3" max="3" width="18.69921875" style="2" customWidth="1"/>
    <col min="4" max="4" width="19.69921875" style="2" customWidth="1"/>
    <col min="5" max="5" width="17.19921875" style="2" customWidth="1"/>
    <col min="6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6">
        <v>1</v>
      </c>
      <c r="B2" s="28" t="s">
        <v>15</v>
      </c>
      <c r="C2" s="21" t="s">
        <v>16</v>
      </c>
      <c r="D2" s="3"/>
      <c r="E2" s="3"/>
      <c r="F2" s="5"/>
      <c r="G2" s="5"/>
      <c r="H2" s="5"/>
      <c r="I2" s="5"/>
      <c r="J2" s="7"/>
    </row>
    <row r="3" spans="1:10" ht="16.2" thickBot="1">
      <c r="A3" s="8"/>
      <c r="B3" s="4"/>
      <c r="C3" s="22">
        <v>0.995</v>
      </c>
      <c r="D3" s="3"/>
      <c r="E3" s="3"/>
      <c r="F3" s="3"/>
      <c r="G3" s="3"/>
      <c r="H3" s="3"/>
      <c r="I3" s="3"/>
      <c r="J3" s="9"/>
    </row>
    <row r="4" spans="1:10" ht="15.6">
      <c r="A4" s="16">
        <v>2</v>
      </c>
      <c r="B4" s="3" t="s">
        <v>36</v>
      </c>
      <c r="C4" s="3" t="s">
        <v>1</v>
      </c>
      <c r="D4" s="3" t="s">
        <v>37</v>
      </c>
      <c r="E4" s="3" t="s">
        <v>38</v>
      </c>
      <c r="F4" s="5"/>
      <c r="G4" s="5"/>
      <c r="H4" s="3"/>
      <c r="I4" s="3"/>
      <c r="J4" s="9"/>
    </row>
    <row r="5" spans="1:10" ht="15.6">
      <c r="A5" s="8"/>
      <c r="B5" s="3"/>
      <c r="C5" s="3">
        <v>0</v>
      </c>
      <c r="D5" s="3">
        <v>30</v>
      </c>
      <c r="E5" s="3">
        <v>300</v>
      </c>
      <c r="F5" s="3"/>
      <c r="G5" s="3"/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300</v>
      </c>
      <c r="D7" s="3">
        <v>7500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ht="15.6">
      <c r="A9" s="8"/>
      <c r="B9" s="3"/>
      <c r="C9" s="3">
        <v>7500</v>
      </c>
      <c r="D9" s="3">
        <v>15000</v>
      </c>
      <c r="E9" s="3">
        <v>0.4</v>
      </c>
      <c r="F9" s="3">
        <v>0.4</v>
      </c>
      <c r="G9" s="3">
        <v>0</v>
      </c>
      <c r="H9" s="3"/>
      <c r="I9" s="3"/>
      <c r="J9" s="9"/>
    </row>
    <row r="10" spans="1:10" ht="15.6">
      <c r="A10" s="8">
        <v>4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 ht="15.6">
      <c r="A11" s="8"/>
      <c r="B11" s="3"/>
      <c r="C11" s="3">
        <v>15000</v>
      </c>
      <c r="D11" s="3">
        <v>20000</v>
      </c>
      <c r="E11" s="3">
        <v>0.4</v>
      </c>
      <c r="F11" s="3">
        <v>0.4</v>
      </c>
      <c r="G11" s="3">
        <v>0</v>
      </c>
      <c r="H11" s="3"/>
      <c r="I11" s="3"/>
      <c r="J11" s="9"/>
    </row>
    <row r="12" spans="1:10" ht="15.6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ht="15.6">
      <c r="A13" s="8"/>
      <c r="B13" s="3"/>
      <c r="C13" s="14">
        <v>20000</v>
      </c>
      <c r="D13" s="3">
        <v>650</v>
      </c>
      <c r="E13" s="3">
        <v>0.4</v>
      </c>
      <c r="F13" s="3">
        <v>0</v>
      </c>
      <c r="G13" s="3"/>
      <c r="H13" s="3"/>
      <c r="I13" s="3"/>
      <c r="J13" s="9"/>
    </row>
    <row r="14" spans="1:10" ht="15.6">
      <c r="A14" s="8">
        <v>5</v>
      </c>
      <c r="B14" s="3" t="s">
        <v>10</v>
      </c>
      <c r="C14" s="3" t="s">
        <v>5</v>
      </c>
      <c r="D14" s="3" t="s">
        <v>17</v>
      </c>
      <c r="E14" s="3" t="s">
        <v>11</v>
      </c>
      <c r="F14" s="3" t="s">
        <v>33</v>
      </c>
      <c r="G14" s="3"/>
      <c r="H14" s="3"/>
      <c r="I14" s="3"/>
      <c r="J14" s="9"/>
    </row>
    <row r="15" spans="1:10" ht="15.6">
      <c r="A15" s="8"/>
      <c r="B15" s="3"/>
      <c r="C15" s="3">
        <v>20000</v>
      </c>
      <c r="D15" s="3">
        <v>650</v>
      </c>
      <c r="E15" s="3">
        <v>0.4</v>
      </c>
      <c r="F15" s="3">
        <v>0</v>
      </c>
      <c r="G15" s="3"/>
      <c r="H15" s="3"/>
      <c r="I15" s="3"/>
      <c r="J15" s="9"/>
    </row>
    <row r="16" spans="1:10" ht="15.6">
      <c r="A16" s="8">
        <v>6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 ht="15.6">
      <c r="A17" s="8"/>
      <c r="B17" s="3"/>
      <c r="C17" s="14">
        <v>20000</v>
      </c>
      <c r="D17" s="3">
        <v>650</v>
      </c>
      <c r="E17" s="3">
        <v>0.4</v>
      </c>
      <c r="F17" s="3">
        <v>0</v>
      </c>
      <c r="G17" s="3"/>
      <c r="H17" s="3"/>
      <c r="I17" s="3"/>
      <c r="J17" s="9"/>
    </row>
    <row r="18" spans="1:10" ht="15.6">
      <c r="A18" s="8">
        <v>7</v>
      </c>
      <c r="B18" s="3" t="s">
        <v>12</v>
      </c>
      <c r="C18" s="3" t="s">
        <v>5</v>
      </c>
      <c r="D18" s="3" t="s">
        <v>13</v>
      </c>
      <c r="E18" s="3" t="s">
        <v>34</v>
      </c>
      <c r="F18" s="3"/>
      <c r="G18" s="3"/>
      <c r="H18" s="3"/>
      <c r="I18" s="3"/>
      <c r="J18" s="9"/>
    </row>
    <row r="19" spans="1:10" ht="15.6">
      <c r="A19" s="8"/>
      <c r="B19" s="3"/>
      <c r="C19" s="14">
        <v>8000</v>
      </c>
      <c r="D19" s="13">
        <v>0.25</v>
      </c>
      <c r="E19" s="3">
        <v>0</v>
      </c>
      <c r="F19" s="3"/>
      <c r="G19" s="3"/>
      <c r="H19" s="3"/>
      <c r="I19" s="3"/>
      <c r="J19" s="9"/>
    </row>
    <row r="20" spans="1:10" ht="15.6">
      <c r="A20" s="8">
        <v>8</v>
      </c>
      <c r="B20" s="4" t="s">
        <v>26</v>
      </c>
      <c r="C20" s="4" t="s">
        <v>16</v>
      </c>
      <c r="D20" s="3"/>
      <c r="E20" s="3"/>
      <c r="F20" s="4"/>
      <c r="G20" s="3"/>
      <c r="H20" s="3"/>
      <c r="I20" s="3"/>
      <c r="J20" s="9"/>
    </row>
    <row r="21" spans="1:10" ht="15.6">
      <c r="A21" s="8"/>
      <c r="B21" s="3"/>
      <c r="C21" s="3">
        <v>0.99</v>
      </c>
      <c r="D21" s="3"/>
      <c r="E21" s="3"/>
      <c r="F21" s="3"/>
      <c r="G21" s="3"/>
      <c r="H21" s="3"/>
      <c r="I21" s="3"/>
      <c r="J21" s="9"/>
    </row>
    <row r="22" spans="1:10" ht="15.6">
      <c r="A22" s="8">
        <v>9</v>
      </c>
      <c r="B22" s="4" t="s">
        <v>27</v>
      </c>
      <c r="C22" s="4" t="s">
        <v>16</v>
      </c>
      <c r="D22" s="3"/>
      <c r="E22" s="3"/>
      <c r="F22" s="3"/>
      <c r="G22" s="3"/>
      <c r="H22" s="3"/>
      <c r="I22" s="3"/>
      <c r="J22" s="9"/>
    </row>
    <row r="23" spans="1:10" ht="15.6">
      <c r="A23" s="8"/>
      <c r="B23" s="3"/>
      <c r="C23" s="3">
        <v>0.999</v>
      </c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5.6">
      <c r="A27" s="6"/>
      <c r="B27" s="3"/>
      <c r="C27" s="28"/>
      <c r="D27" s="21"/>
      <c r="E27" s="3"/>
      <c r="F27" s="3"/>
      <c r="G27" s="3"/>
      <c r="H27" s="3"/>
      <c r="I27" s="3"/>
      <c r="J27" s="9"/>
    </row>
    <row r="28" spans="1:10" ht="15.6">
      <c r="A28" s="6"/>
      <c r="B28" s="3"/>
      <c r="C28" s="4"/>
      <c r="D28" s="22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D2:XFD3 A4 F4:G5 H4:XFD7 B4:E17 G8:XFD11 F12:XFD19 F16:G23">
    <cfRule type="expression" dxfId="8" priority="10">
      <formula>MOD(ROW(),2)=0</formula>
    </cfRule>
  </conditionalFormatting>
  <conditionalFormatting sqref="B1 D1:J1">
    <cfRule type="expression" dxfId="7" priority="11">
      <formula>MOD(ROW(),2)=0</formula>
    </cfRule>
  </conditionalFormatting>
  <conditionalFormatting sqref="B12:D19">
    <cfRule type="expression" dxfId="6" priority="1">
      <formula>MOD(ROW(),2)=0</formula>
    </cfRule>
  </conditionalFormatting>
  <conditionalFormatting sqref="C2:C3">
    <cfRule type="expression" dxfId="5" priority="3">
      <formula>MOD(ROW(),2)=0</formula>
    </cfRule>
  </conditionalFormatting>
  <conditionalFormatting sqref="D27:D28">
    <cfRule type="expression" dxfId="4" priority="5">
      <formula>MOD(ROW(),2)=0</formula>
    </cfRule>
  </conditionalFormatting>
  <conditionalFormatting sqref="E12:E21">
    <cfRule type="expression" dxfId="3" priority="6">
      <formula>MOD(ROW(),2)=0</formula>
    </cfRule>
  </conditionalFormatting>
  <conditionalFormatting sqref="F4:F17">
    <cfRule type="expression" dxfId="2" priority="8">
      <formula>MOD(ROW(),2)=0</formula>
    </cfRule>
  </conditionalFormatting>
  <conditionalFormatting sqref="G4:G11">
    <cfRule type="expression" dxfId="1" priority="9">
      <formula>MOD(ROW(),2)=0</formula>
    </cfRule>
  </conditionalFormatting>
  <conditionalFormatting sqref="K1:XFD1 E20:XFD21 A22:XFD26 A27:B28 E27:XFD28 A29:XFD1048576">
    <cfRule type="expression" dxfId="0" priority="1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Templates</vt:lpstr>
      <vt:lpstr>F16</vt:lpstr>
      <vt:lpstr>F16 Refuel</vt:lpstr>
      <vt:lpstr>F16 Supercruise</vt:lpstr>
      <vt:lpstr>B747-200</vt:lpstr>
      <vt:lpstr>C172</vt:lpstr>
      <vt:lpstr>Electric C172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2026-08-28T15:33:38Z</dcterms:modified>
</cp:coreProperties>
</file>